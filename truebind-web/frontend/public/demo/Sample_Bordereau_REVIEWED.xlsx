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Summary" sheetId="1" state="visible" r:id="rId1"/>
    <sheet xmlns:r="http://schemas.openxmlformats.org/officeDocument/2006/relationships" name="Claim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Notes" sheetId="4" state="visible" r:id="rId4"/>
    <sheet xmlns:r="http://schemas.openxmlformats.org/officeDocument/2006/relationships" name="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</font>
    <font>
      <color rgb="009C0006"/>
    </font>
    <font>
      <color rgb="000563C1"/>
      <u val="single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E2F0D9"/>
        <bgColor rgb="00E2F0D9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2" fillId="4" borderId="0" pivotButton="0" quotePrefix="0" xfId="0"/>
    <xf numFmtId="0" fontId="0" fillId="2" borderId="0" pivotButton="0" quotePrefix="0" xfId="0"/>
    <xf numFmtId="0" fontId="1" fillId="2" borderId="0" pivotButton="0" quotePrefix="0" xfId="0"/>
    <xf numFmtId="164" fontId="0" fillId="3" borderId="0" pivotButton="0" quotePrefix="0" xfId="0"/>
    <xf numFmtId="164" fontId="2" fillId="4" borderId="0" pivotButton="0" quotePrefix="0" xfId="0"/>
    <xf numFmtId="0" fontId="0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TrueBind</author>
  </authors>
  <commentList>
    <comment ref="G5" authorId="0" shapeId="0">
      <text>
        <t>Loss outside the policy period: date of loss 2025-09-27 is before policy inception 2025-10-16.
Fix: The date of loss is before inception or after expiry. Check the dates and the policy.</t>
      </text>
    </comment>
    <comment ref="L22" authorId="0" shapeId="0">
      <text>
        <t>Closed claim still holds a reserve: claim is closed but still holds a reserve of 60,000.00.
Fix: A closed or settled claim should hold no reserve. Ask the sender to release it or reopen the claim.</t>
      </text>
    </comment>
    <comment ref="M22" authorId="0" shapeId="0">
      <text>
        <t>Incurred exceeds the policy limit: total incurred 150,000.00 is above the policy limit 100,000.00.
Fix: Total incurred is above the policy limit: a possible overpayment or a wrong limit. Check both.</t>
      </text>
    </comment>
    <comment ref="H67" authorId="0" shapeId="0">
      <text>
        <t>Notified before the loss date: date of loss 2026-01-17 is after date first notified 2026-01-01.
Fix: The claim was notified before it happened. Check both dates with the sender.</t>
      </text>
    </comment>
    <comment ref="J74" authorId="0" shapeId="0">
      <text>
        <t>Currency written non-standardly: 'eur' read as EUR.
Fix: Read as the ISO code shown. The corrected copy writes the ISO code.</t>
      </text>
    </comment>
    <comment ref="J107" authorId="0" shapeId="0">
      <text>
        <t>Currency code not recognised: 'XXX' is not a valid ISO 4217 code.
Fix: Use a valid ISO currency code (EUR, GBP, USD...). Confirm which currency the amounts are in.</t>
      </text>
    </comment>
    <comment ref="G164" authorId="0" shapeId="0">
      <text>
        <t>Date stored as text or a number: date of loss 2025-04-25 was read from text or an Excel serial number, not a date cell.
Fix: Read correctly, but stored as text or an Excel serial number. The corrected copy converts it to a real date.</t>
      </text>
    </comment>
    <comment ref="I287" authorId="0" shapeId="0">
      <text>
        <t>Status not recognised: 'in litigation hold' is not one of ['cancelled', 'closed', 'ntu', 'open', 'other', 'reopened', 'void', 'withdrawn'].
Fix: Use one of the agreed statuses (Open, Closed, Reopened...), or add it to the accepted list.</t>
      </text>
    </comment>
    <comment ref="A304" authorId="0" shapeId="0">
      <text>
        <t>Probable duplicate: 100% confidence: insured names 'Ballina Florists Limited' / 'Ballina Florists Limited' are 100% similar, loss dates 2025-11-13 / 2025-11-13 are 0 days apart, claim references differ; policy references match; amounts are the same.
Fix: Compare the two rows side by side; confirm whether they are the same loss.</t>
      </text>
    </comment>
    <comment ref="L391" authorId="0" shapeId="0">
      <text>
        <t>Closed claim still holds a reserve: claim is closed but still holds a reserve of 1,500.00.
Fix: A closed or settled claim should hold no reserve. Ask the sender to release it or reopen the claim.</t>
      </text>
    </comment>
    <comment ref="A409" authorId="0" shapeId="0">
      <text>
        <t>Exact duplicate: claim reference 'CLM-102842' is repeated with identical amounts and status in the same sheet 'Claims' (no reporting period present).
Fix: The same claim was sent twice with identical figures. Ask the sender to withdraw one.</t>
      </text>
    </comment>
    <comment ref="C416" authorId="0" shapeId="0">
      <text>
        <t>Required data missing: insured name is missing.
Fix: Ask the sender for the missing value.</t>
      </text>
    </comment>
    <comment ref="M458" authorId="0" shapeId="0">
      <text>
        <t>Total incurred does not reconcile: total incurred=58,702.08 but paid to date 26,451.11 + reserve 36,367.57 = 62,818.68 (no fee columns in this file: checked as nil fees; if the total includes fees the difference may be fees).
Fix: Total incurred should equal paid plus reserve (plus fees). Ask the sender which figure is right.</t>
      </text>
    </comment>
    <comment ref="K479" authorId="0" shapeId="0">
      <text>
        <t>Paid exceeds total incurred: paid to date 19,147.98 is more than total incurred 17,306.82.
Fix: Paid to date cannot be more than total incurred. Ask the sender to correct the figures.</t>
      </text>
    </comment>
    <comment ref="L479" authorId="0" shapeId="0">
      <text>
        <t>Negative reserve: reserve is -1,841.16; a reserve cannot be negative.
Fix: Reserves cannot be negative. Ask the sender for the correct outstanding amount.</t>
      </text>
    </comment>
    <comment ref="M480" authorId="0" shapeId="0">
      <text>
        <t>Total incurred does not reconcile: total incurred=88,638.40 but paid to date 19,256.61 + reserve 73,580.85 = 92,837.46 (no fee columns in this file: checked as nil fees; if the total includes fees the difference may be fees).
Fix: Total incurred should equal paid plus reserve (plus fees). Ask the sender which figure is right.</t>
      </text>
    </comment>
    <comment ref="C499" authorId="0" shapeId="0">
      <text>
        <t>Required data missing: insured name is missing.
Fix: Ask the sender for the missing value.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TrueBind review</t>
        </is>
      </c>
    </row>
    <row r="2">
      <c r="A2" t="inlineStr">
        <is>
          <t>File</t>
        </is>
      </c>
      <c r="B2" t="inlineStr">
        <is>
          <t>Sample_Bordereau.xlsx</t>
        </is>
      </c>
    </row>
    <row r="3">
      <c r="A3" t="inlineStr">
        <is>
          <t>Verdict</t>
        </is>
      </c>
      <c r="B3" t="inlineStr">
        <is>
          <t>Fix before submitting</t>
        </is>
      </c>
    </row>
    <row r="4"/>
    <row r="5">
      <c r="A5" s="3" t="inlineStr">
        <is>
          <t>Count</t>
        </is>
      </c>
      <c r="B5" s="3" t="inlineStr">
        <is>
          <t>Findings</t>
        </is>
      </c>
      <c r="C5" s="3" t="n"/>
      <c r="D5" s="3" t="n"/>
    </row>
    <row r="6">
      <c r="A6" t="inlineStr">
        <is>
          <t>Errors</t>
        </is>
      </c>
      <c r="B6">
        <f>COUNTIFS(Issues!$B:$B,"Error")</f>
        <v/>
      </c>
    </row>
    <row r="7">
      <c r="A7" t="inlineStr">
        <is>
          <t>Warnings</t>
        </is>
      </c>
      <c r="B7">
        <f>COUNTIFS(Issues!$B:$B,"Warning")</f>
        <v/>
      </c>
    </row>
    <row r="8">
      <c r="A8" t="inlineStr">
        <is>
          <t>Couldn't check</t>
        </is>
      </c>
      <c r="B8">
        <f>COUNTIFS(Issues!$B:$B,"Couldn't check")</f>
        <v/>
      </c>
    </row>
    <row r="9"/>
    <row r="10">
      <c r="A10" s="3" t="inlineStr">
        <is>
          <t>Issue</t>
        </is>
      </c>
      <c r="B10" s="3" t="inlineStr">
        <is>
          <t>Errors</t>
        </is>
      </c>
      <c r="C10" s="3" t="inlineStr">
        <is>
          <t>Warnings</t>
        </is>
      </c>
      <c r="D10" s="3" t="inlineStr">
        <is>
          <t>Couldn't check</t>
        </is>
      </c>
    </row>
    <row r="11">
      <c r="A11" t="inlineStr">
        <is>
          <t>Closed claim still holds a reserve</t>
        </is>
      </c>
      <c r="B11">
        <f>COUNTIFS(Issues!$A:$A,"Closed claim still holds a reserve",Issues!$B:$B,"Error")</f>
        <v/>
      </c>
      <c r="C11">
        <f>COUNTIFS(Issues!$A:$A,"Closed claim still holds a reserve",Issues!$B:$B,"Warning")</f>
        <v/>
      </c>
      <c r="D11">
        <f>COUNTIFS(Issues!$A:$A,"Closed claim still holds a reserve",Issues!$B:$B,"Couldn't check")</f>
        <v/>
      </c>
    </row>
    <row r="12">
      <c r="A12" t="inlineStr">
        <is>
          <t>Currency code not recognised</t>
        </is>
      </c>
      <c r="B12">
        <f>COUNTIFS(Issues!$A:$A,"Currency code not recognised",Issues!$B:$B,"Error")</f>
        <v/>
      </c>
      <c r="C12">
        <f>COUNTIFS(Issues!$A:$A,"Currency code not recognised",Issues!$B:$B,"Warning")</f>
        <v/>
      </c>
      <c r="D12">
        <f>COUNTIFS(Issues!$A:$A,"Currency code not recognised",Issues!$B:$B,"Couldn't check")</f>
        <v/>
      </c>
    </row>
    <row r="13">
      <c r="A13" t="inlineStr">
        <is>
          <t>Currency written non-standardly</t>
        </is>
      </c>
      <c r="B13">
        <f>COUNTIFS(Issues!$A:$A,"Currency written non-standardly",Issues!$B:$B,"Error")</f>
        <v/>
      </c>
      <c r="C13">
        <f>COUNTIFS(Issues!$A:$A,"Currency written non-standardly",Issues!$B:$B,"Warning")</f>
        <v/>
      </c>
      <c r="D13">
        <f>COUNTIFS(Issues!$A:$A,"Currency written non-standardly",Issues!$B:$B,"Couldn't check")</f>
        <v/>
      </c>
    </row>
    <row r="14">
      <c r="A14" t="inlineStr">
        <is>
          <t>Date stored as text or a number</t>
        </is>
      </c>
      <c r="B14">
        <f>COUNTIFS(Issues!$A:$A,"Date stored as text or a number",Issues!$B:$B,"Error")</f>
        <v/>
      </c>
      <c r="C14">
        <f>COUNTIFS(Issues!$A:$A,"Date stored as text or a number",Issues!$B:$B,"Warning")</f>
        <v/>
      </c>
      <c r="D14">
        <f>COUNTIFS(Issues!$A:$A,"Date stored as text or a number",Issues!$B:$B,"Couldn't check")</f>
        <v/>
      </c>
    </row>
    <row r="15">
      <c r="A15" t="inlineStr">
        <is>
          <t>Exact duplicate</t>
        </is>
      </c>
      <c r="B15">
        <f>COUNTIFS(Issues!$A:$A,"Exact duplicate",Issues!$B:$B,"Error")</f>
        <v/>
      </c>
      <c r="C15">
        <f>COUNTIFS(Issues!$A:$A,"Exact duplicate",Issues!$B:$B,"Warning")</f>
        <v/>
      </c>
      <c r="D15">
        <f>COUNTIFS(Issues!$A:$A,"Exact duplicate",Issues!$B:$B,"Couldn't check")</f>
        <v/>
      </c>
    </row>
    <row r="16">
      <c r="A16" t="inlineStr">
        <is>
          <t>Incurred exceeds the policy limit</t>
        </is>
      </c>
      <c r="B16">
        <f>COUNTIFS(Issues!$A:$A,"Incurred exceeds the policy limit",Issues!$B:$B,"Error")</f>
        <v/>
      </c>
      <c r="C16">
        <f>COUNTIFS(Issues!$A:$A,"Incurred exceeds the policy limit",Issues!$B:$B,"Warning")</f>
        <v/>
      </c>
      <c r="D16">
        <f>COUNTIFS(Issues!$A:$A,"Incurred exceeds the policy limit",Issues!$B:$B,"Couldn't check")</f>
        <v/>
      </c>
    </row>
    <row r="17">
      <c r="A17" t="inlineStr">
        <is>
          <t>Loss outside the policy period</t>
        </is>
      </c>
      <c r="B17">
        <f>COUNTIFS(Issues!$A:$A,"Loss outside the policy period",Issues!$B:$B,"Error")</f>
        <v/>
      </c>
      <c r="C17">
        <f>COUNTIFS(Issues!$A:$A,"Loss outside the policy period",Issues!$B:$B,"Warning")</f>
        <v/>
      </c>
      <c r="D17">
        <f>COUNTIFS(Issues!$A:$A,"Loss outside the policy period",Issues!$B:$B,"Couldn't check")</f>
        <v/>
      </c>
    </row>
    <row r="18">
      <c r="A18" t="inlineStr">
        <is>
          <t>Negative reserve</t>
        </is>
      </c>
      <c r="B18">
        <f>COUNTIFS(Issues!$A:$A,"Negative reserve",Issues!$B:$B,"Error")</f>
        <v/>
      </c>
      <c r="C18">
        <f>COUNTIFS(Issues!$A:$A,"Negative reserve",Issues!$B:$B,"Warning")</f>
        <v/>
      </c>
      <c r="D18">
        <f>COUNTIFS(Issues!$A:$A,"Negative reserve",Issues!$B:$B,"Couldn't check")</f>
        <v/>
      </c>
    </row>
    <row r="19">
      <c r="A19" t="inlineStr">
        <is>
          <t>Notified before the loss date</t>
        </is>
      </c>
      <c r="B19">
        <f>COUNTIFS(Issues!$A:$A,"Notified before the loss date",Issues!$B:$B,"Error")</f>
        <v/>
      </c>
      <c r="C19">
        <f>COUNTIFS(Issues!$A:$A,"Notified before the loss date",Issues!$B:$B,"Warning")</f>
        <v/>
      </c>
      <c r="D19">
        <f>COUNTIFS(Issues!$A:$A,"Notified before the loss date",Issues!$B:$B,"Couldn't check")</f>
        <v/>
      </c>
    </row>
    <row r="20">
      <c r="A20" t="inlineStr">
        <is>
          <t>Paid exceeds total incurred</t>
        </is>
      </c>
      <c r="B20">
        <f>COUNTIFS(Issues!$A:$A,"Paid exceeds total incurred",Issues!$B:$B,"Error")</f>
        <v/>
      </c>
      <c r="C20">
        <f>COUNTIFS(Issues!$A:$A,"Paid exceeds total incurred",Issues!$B:$B,"Warning")</f>
        <v/>
      </c>
      <c r="D20">
        <f>COUNTIFS(Issues!$A:$A,"Paid exceeds total incurred",Issues!$B:$B,"Couldn't check")</f>
        <v/>
      </c>
    </row>
    <row r="21">
      <c r="A21" t="inlineStr">
        <is>
          <t>Probable duplicate</t>
        </is>
      </c>
      <c r="B21">
        <f>COUNTIFS(Issues!$A:$A,"Probable duplicate",Issues!$B:$B,"Error")</f>
        <v/>
      </c>
      <c r="C21">
        <f>COUNTIFS(Issues!$A:$A,"Probable duplicate",Issues!$B:$B,"Warning")</f>
        <v/>
      </c>
      <c r="D21">
        <f>COUNTIFS(Issues!$A:$A,"Probable duplicate",Issues!$B:$B,"Couldn't check")</f>
        <v/>
      </c>
    </row>
    <row r="22">
      <c r="A22" t="inlineStr">
        <is>
          <t>Required data missing</t>
        </is>
      </c>
      <c r="B22">
        <f>COUNTIFS(Issues!$A:$A,"Required data missing",Issues!$B:$B,"Error")</f>
        <v/>
      </c>
      <c r="C22">
        <f>COUNTIFS(Issues!$A:$A,"Required data missing",Issues!$B:$B,"Warning")</f>
        <v/>
      </c>
      <c r="D22">
        <f>COUNTIFS(Issues!$A:$A,"Required data missing",Issues!$B:$B,"Couldn't check")</f>
        <v/>
      </c>
    </row>
    <row r="23">
      <c r="A23" t="inlineStr">
        <is>
          <t>Status not recognised</t>
        </is>
      </c>
      <c r="B23">
        <f>COUNTIFS(Issues!$A:$A,"Status not recognised",Issues!$B:$B,"Error")</f>
        <v/>
      </c>
      <c r="C23">
        <f>COUNTIFS(Issues!$A:$A,"Status not recognised",Issues!$B:$B,"Warning")</f>
        <v/>
      </c>
      <c r="D23">
        <f>COUNTIFS(Issues!$A:$A,"Status not recognised",Issues!$B:$B,"Couldn't check")</f>
        <v/>
      </c>
    </row>
    <row r="24">
      <c r="A24" t="inlineStr">
        <is>
          <t>Total incurred does not reconcile</t>
        </is>
      </c>
      <c r="B24">
        <f>COUNTIFS(Issues!$A:$A,"Total incurred does not reconcile",Issues!$B:$B,"Error")</f>
        <v/>
      </c>
      <c r="C24">
        <f>COUNTIFS(Issues!$A:$A,"Total incurred does not reconcile",Issues!$B:$B,"Warning")</f>
        <v/>
      </c>
      <c r="D24">
        <f>COUNTIFS(Issues!$A:$A,"Total incurred does not reconcile",Issues!$B:$B,"Couldn't check")</f>
        <v/>
      </c>
    </row>
    <row r="25"/>
    <row r="26">
      <c r="A26" s="3" t="inlineStr">
        <is>
          <t>Legend</t>
        </is>
      </c>
    </row>
    <row r="27">
      <c r="A27" s="4" t="inlineStr"/>
      <c r="B27" t="inlineStr">
        <is>
          <t>Checked: no issue found</t>
        </is>
      </c>
    </row>
    <row r="28">
      <c r="A28" s="5" t="inlineStr"/>
      <c r="B28" t="inlineStr">
        <is>
          <t>Unusual, or could not be validated (for example a date held as text)</t>
        </is>
      </c>
    </row>
    <row r="29">
      <c r="A29" s="6" t="inlineStr">
        <is>
          <t>Error</t>
        </is>
      </c>
      <c r="B29" t="inlineStr">
        <is>
          <t>Error: must be fixed before the file is sent</t>
        </is>
      </c>
    </row>
    <row r="30">
      <c r="A30" s="7" t="inlineStr"/>
      <c r="B30" t="inlineStr">
        <is>
          <t>Structural row (header, title, subtotal, blank), not a claim</t>
        </is>
      </c>
    </row>
    <row r="31"/>
    <row r="32">
      <c r="A32" t="inlineStr">
        <is>
          <t>Hover over an amber or red cell to see what was found and how to fix it. Every row also has a Review notes column. Values in your sheets are exactly as received.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60" customWidth="1" min="14" max="14"/>
  </cols>
  <sheetData>
    <row r="1">
      <c r="A1" t="inlineStr">
        <is>
          <t>Monthly claims bordereau - synthetic sample (no real data)</t>
        </is>
      </c>
    </row>
    <row r="2">
      <c r="A2" s="7" t="inlineStr">
        <is>
          <t>Claim Ref</t>
        </is>
      </c>
      <c r="B2" s="7" t="inlineStr">
        <is>
          <t>Pol No.</t>
        </is>
      </c>
      <c r="C2" s="7" t="inlineStr">
        <is>
          <t>Insured Name</t>
        </is>
      </c>
      <c r="D2" s="7" t="inlineStr">
        <is>
          <t>Inception</t>
        </is>
      </c>
      <c r="E2" s="7" t="inlineStr">
        <is>
          <t>Expiry</t>
        </is>
      </c>
      <c r="F2" s="7" t="inlineStr">
        <is>
          <t>Policy Limit</t>
        </is>
      </c>
      <c r="G2" s="7" t="inlineStr">
        <is>
          <t>Date of Loss</t>
        </is>
      </c>
      <c r="H2" s="7" t="inlineStr">
        <is>
          <t>Date Rptd</t>
        </is>
      </c>
      <c r="I2" s="7" t="inlineStr">
        <is>
          <t>Claim Status</t>
        </is>
      </c>
      <c r="J2" s="7" t="inlineStr">
        <is>
          <t>Currency</t>
        </is>
      </c>
      <c r="K2" s="7" t="inlineStr">
        <is>
          <t>Paid to Date</t>
        </is>
      </c>
      <c r="L2" s="7" t="inlineStr">
        <is>
          <t>Outstanding Reserve</t>
        </is>
      </c>
      <c r="M2" s="7" t="inlineStr">
        <is>
          <t>Total Incurred</t>
        </is>
      </c>
      <c r="N2" s="8" t="inlineStr">
        <is>
          <t>Review notes</t>
        </is>
      </c>
    </row>
    <row r="3">
      <c r="A3" s="4" t="inlineStr">
        <is>
          <t>CLM-100000</t>
        </is>
      </c>
      <c r="B3" s="4" t="inlineStr">
        <is>
          <t>4500436</t>
        </is>
      </c>
      <c r="C3" s="4" t="inlineStr">
        <is>
          <t>Kestrel Garages Limited</t>
        </is>
      </c>
      <c r="D3" s="9" t="n">
        <v>45998</v>
      </c>
      <c r="E3" s="9" t="n">
        <v>46362</v>
      </c>
      <c r="F3" s="4" t="n">
        <v>100000</v>
      </c>
      <c r="G3" s="9" t="n">
        <v>46108</v>
      </c>
      <c r="H3" s="9" t="n">
        <v>46136</v>
      </c>
      <c r="I3" s="4" t="inlineStr">
        <is>
          <t>Open</t>
        </is>
      </c>
      <c r="J3" s="4" t="inlineStr">
        <is>
          <t>EUR</t>
        </is>
      </c>
      <c r="K3" s="4" t="n">
        <v>5754.26</v>
      </c>
      <c r="L3" s="4" t="n">
        <v>42827.08</v>
      </c>
      <c r="M3" s="4" t="n">
        <v>48581.34</v>
      </c>
      <c r="N3" s="4" t="inlineStr">
        <is>
          <t>OK</t>
        </is>
      </c>
    </row>
    <row r="4">
      <c r="A4" s="4" t="inlineStr">
        <is>
          <t>CLM-100007</t>
        </is>
      </c>
      <c r="B4" s="4" t="inlineStr">
        <is>
          <t>4895715</t>
        </is>
      </c>
      <c r="C4" s="4" t="inlineStr">
        <is>
          <t>Ellery Motors Limited</t>
        </is>
      </c>
      <c r="D4" s="9" t="n">
        <v>45771</v>
      </c>
      <c r="E4" s="9" t="n">
        <v>46135</v>
      </c>
      <c r="F4" s="4" t="n">
        <v>100000</v>
      </c>
      <c r="G4" s="9" t="n">
        <v>45985</v>
      </c>
      <c r="H4" s="9" t="n">
        <v>45998</v>
      </c>
      <c r="I4" s="4" t="inlineStr">
        <is>
          <t>Closed</t>
        </is>
      </c>
      <c r="J4" s="4" t="inlineStr">
        <is>
          <t>GBP</t>
        </is>
      </c>
      <c r="K4" s="4" t="n">
        <v>29999.7</v>
      </c>
      <c r="L4" s="4" t="n">
        <v>0</v>
      </c>
      <c r="M4" s="4" t="n">
        <v>29999.7</v>
      </c>
      <c r="N4" s="4" t="inlineStr">
        <is>
          <t>OK</t>
        </is>
      </c>
    </row>
    <row r="5">
      <c r="A5" s="4" t="inlineStr">
        <is>
          <t>CLM-100014</t>
        </is>
      </c>
      <c r="B5" s="4" t="inlineStr">
        <is>
          <t>4885702</t>
        </is>
      </c>
      <c r="C5" s="4" t="inlineStr">
        <is>
          <t>Oakham Electrical Ltd</t>
        </is>
      </c>
      <c r="D5" s="9" t="n">
        <v>45946</v>
      </c>
      <c r="E5" s="9" t="n">
        <v>46310</v>
      </c>
      <c r="F5" s="4" t="n">
        <v>100000</v>
      </c>
      <c r="G5" s="10" t="n">
        <v>45927</v>
      </c>
      <c r="H5" s="9" t="n">
        <v>45932</v>
      </c>
      <c r="I5" s="4" t="inlineStr">
        <is>
          <t>Open</t>
        </is>
      </c>
      <c r="J5" s="4" t="inlineStr">
        <is>
          <t>USD</t>
        </is>
      </c>
      <c r="K5" s="4" t="n">
        <v>1367.21</v>
      </c>
      <c r="L5" s="4" t="n">
        <v>33297.22</v>
      </c>
      <c r="M5" s="4" t="n">
        <v>34664.43</v>
      </c>
      <c r="N5" s="6" t="inlineStr">
        <is>
          <t>Error: Loss outside the policy period: date of loss 2025-09-27 is before policy inception 2025-10-16.</t>
        </is>
      </c>
    </row>
    <row r="6">
      <c r="A6" s="4" t="inlineStr">
        <is>
          <t>CLM-100021</t>
        </is>
      </c>
      <c r="B6" s="4" t="inlineStr">
        <is>
          <t>4444022</t>
        </is>
      </c>
      <c r="C6" s="4" t="inlineStr">
        <is>
          <t>Kilbride Builders Ltd</t>
        </is>
      </c>
      <c r="D6" s="9" t="n">
        <v>45678</v>
      </c>
      <c r="E6" s="9" t="n">
        <v>46042</v>
      </c>
      <c r="F6" s="4" t="n">
        <v>500000</v>
      </c>
      <c r="G6" s="9" t="n">
        <v>45686</v>
      </c>
      <c r="H6" s="9" t="n">
        <v>45716</v>
      </c>
      <c r="I6" s="4" t="inlineStr">
        <is>
          <t>Open</t>
        </is>
      </c>
      <c r="J6" s="4" t="inlineStr">
        <is>
          <t>GBP</t>
        </is>
      </c>
      <c r="K6" s="4" t="n">
        <v>48956.74</v>
      </c>
      <c r="L6" s="4" t="n">
        <v>68165.61</v>
      </c>
      <c r="M6" s="4" t="n">
        <v>117122.35</v>
      </c>
      <c r="N6" s="4" t="inlineStr">
        <is>
          <t>OK</t>
        </is>
      </c>
    </row>
    <row r="7">
      <c r="A7" s="4" t="inlineStr">
        <is>
          <t>CLM-100028</t>
        </is>
      </c>
      <c r="B7" s="4" t="inlineStr">
        <is>
          <t>4571408</t>
        </is>
      </c>
      <c r="C7" s="4" t="inlineStr">
        <is>
          <t>Oakham Logistics Ltd</t>
        </is>
      </c>
      <c r="D7" s="9" t="n">
        <v>45767</v>
      </c>
      <c r="E7" s="9" t="n">
        <v>46131</v>
      </c>
      <c r="F7" s="4" t="n">
        <v>250000</v>
      </c>
      <c r="G7" s="9" t="n">
        <v>45968</v>
      </c>
      <c r="H7" s="9" t="n">
        <v>45996</v>
      </c>
      <c r="I7" s="4" t="inlineStr">
        <is>
          <t>Open</t>
        </is>
      </c>
      <c r="J7" s="4" t="inlineStr">
        <is>
          <t>EUR</t>
        </is>
      </c>
      <c r="K7" s="4" t="n">
        <v>3535.01</v>
      </c>
      <c r="L7" s="4" t="n">
        <v>6453.82</v>
      </c>
      <c r="M7" s="4" t="n">
        <v>9988.83</v>
      </c>
      <c r="N7" s="4" t="inlineStr">
        <is>
          <t>OK</t>
        </is>
      </c>
    </row>
    <row r="8">
      <c r="A8" s="4" t="inlineStr">
        <is>
          <t>CLM-100035</t>
        </is>
      </c>
      <c r="B8" s="4" t="inlineStr">
        <is>
          <t>4821811</t>
        </is>
      </c>
      <c r="C8" s="4" t="inlineStr">
        <is>
          <t>Kestrel Joinery LLP</t>
        </is>
      </c>
      <c r="D8" s="9" t="n">
        <v>45759</v>
      </c>
      <c r="E8" s="9" t="n">
        <v>46123</v>
      </c>
      <c r="F8" s="4" t="n">
        <v>500000</v>
      </c>
      <c r="G8" s="9" t="n">
        <v>46069</v>
      </c>
      <c r="H8" s="9" t="n">
        <v>46075</v>
      </c>
      <c r="I8" s="4" t="inlineStr">
        <is>
          <t>Closed</t>
        </is>
      </c>
      <c r="J8" s="4" t="inlineStr">
        <is>
          <t>EUR</t>
        </is>
      </c>
      <c r="K8" s="4" t="n">
        <v>6251.11</v>
      </c>
      <c r="L8" s="4" t="n">
        <v>0</v>
      </c>
      <c r="M8" s="4" t="n">
        <v>6251.11</v>
      </c>
      <c r="N8" s="4" t="inlineStr">
        <is>
          <t>OK</t>
        </is>
      </c>
    </row>
    <row r="9">
      <c r="A9" s="4" t="inlineStr">
        <is>
          <t>CLM-100042</t>
        </is>
      </c>
      <c r="B9" s="4" t="inlineStr">
        <is>
          <t>4711686</t>
        </is>
      </c>
      <c r="C9" s="4" t="inlineStr">
        <is>
          <t>Fenwick Engineering Holdings</t>
        </is>
      </c>
      <c r="D9" s="9" t="n">
        <v>45933</v>
      </c>
      <c r="E9" s="9" t="n">
        <v>46297</v>
      </c>
      <c r="F9" s="4" t="n">
        <v>250000</v>
      </c>
      <c r="G9" s="9" t="n">
        <v>45958</v>
      </c>
      <c r="H9" s="9" t="n">
        <v>45981</v>
      </c>
      <c r="I9" s="4" t="inlineStr">
        <is>
          <t>Open</t>
        </is>
      </c>
      <c r="J9" s="4" t="inlineStr">
        <is>
          <t>USD</t>
        </is>
      </c>
      <c r="K9" s="4" t="n">
        <v>47597.25</v>
      </c>
      <c r="L9" s="4" t="n">
        <v>76913.06</v>
      </c>
      <c r="M9" s="4" t="n">
        <v>124510.31</v>
      </c>
      <c r="N9" s="4" t="inlineStr">
        <is>
          <t>OK</t>
        </is>
      </c>
    </row>
    <row r="10">
      <c r="A10" s="4" t="inlineStr">
        <is>
          <t>CLM-100049</t>
        </is>
      </c>
      <c r="B10" s="4" t="inlineStr">
        <is>
          <t>4159317</t>
        </is>
      </c>
      <c r="C10" s="4" t="inlineStr">
        <is>
          <t>Pembroke Freight Group</t>
        </is>
      </c>
      <c r="D10" s="9" t="n">
        <v>45984</v>
      </c>
      <c r="E10" s="9" t="n">
        <v>46348</v>
      </c>
      <c r="F10" s="4" t="n">
        <v>1000000</v>
      </c>
      <c r="G10" s="9" t="n">
        <v>46212</v>
      </c>
      <c r="H10" s="9" t="n">
        <v>46235</v>
      </c>
      <c r="I10" s="4" t="inlineStr">
        <is>
          <t>Open</t>
        </is>
      </c>
      <c r="J10" s="4" t="inlineStr">
        <is>
          <t>GBP</t>
        </is>
      </c>
      <c r="K10" s="4" t="n">
        <v>42659.98</v>
      </c>
      <c r="L10" s="4" t="n">
        <v>77336.25999999999</v>
      </c>
      <c r="M10" s="4" t="n">
        <v>119996.24</v>
      </c>
      <c r="N10" s="4" t="inlineStr">
        <is>
          <t>OK</t>
        </is>
      </c>
    </row>
    <row r="11">
      <c r="A11" s="4" t="inlineStr">
        <is>
          <t>CLM-100056</t>
        </is>
      </c>
      <c r="B11" s="4" t="inlineStr">
        <is>
          <t>4051061</t>
        </is>
      </c>
      <c r="C11" s="4" t="inlineStr">
        <is>
          <t>Galway Joinery Limited</t>
        </is>
      </c>
      <c r="D11" s="9" t="n">
        <v>45957</v>
      </c>
      <c r="E11" s="9" t="n">
        <v>46321</v>
      </c>
      <c r="F11" s="4" t="n">
        <v>100000</v>
      </c>
      <c r="G11" s="9" t="n">
        <v>46205</v>
      </c>
      <c r="H11" s="9" t="n">
        <v>46208</v>
      </c>
      <c r="I11" s="4" t="inlineStr">
        <is>
          <t>Open</t>
        </is>
      </c>
      <c r="J11" s="4" t="inlineStr">
        <is>
          <t>GBP</t>
        </is>
      </c>
      <c r="K11" s="4" t="n">
        <v>31262.62</v>
      </c>
      <c r="L11" s="4" t="n">
        <v>36458.89</v>
      </c>
      <c r="M11" s="4" t="n">
        <v>67721.50999999999</v>
      </c>
      <c r="N11" s="4" t="inlineStr">
        <is>
          <t>OK</t>
        </is>
      </c>
    </row>
    <row r="12">
      <c r="A12" s="4" t="inlineStr">
        <is>
          <t>CLM-100063</t>
        </is>
      </c>
      <c r="B12" s="4" t="inlineStr">
        <is>
          <t>4443853</t>
        </is>
      </c>
      <c r="C12" s="4" t="inlineStr">
        <is>
          <t>Oakham Freight Holdings</t>
        </is>
      </c>
      <c r="D12" s="9" t="n">
        <v>45783</v>
      </c>
      <c r="E12" s="9" t="n">
        <v>46147</v>
      </c>
      <c r="F12" s="4" t="n">
        <v>100000</v>
      </c>
      <c r="G12" s="9" t="n">
        <v>45838</v>
      </c>
      <c r="H12" s="9" t="n">
        <v>45843</v>
      </c>
      <c r="I12" s="4" t="inlineStr">
        <is>
          <t>Open</t>
        </is>
      </c>
      <c r="J12" s="4" t="inlineStr">
        <is>
          <t>GBP</t>
        </is>
      </c>
      <c r="K12" s="4" t="n">
        <v>39599.1</v>
      </c>
      <c r="L12" s="4" t="n">
        <v>38079.93</v>
      </c>
      <c r="M12" s="4" t="n">
        <v>77679.03</v>
      </c>
      <c r="N12" s="4" t="inlineStr">
        <is>
          <t>OK</t>
        </is>
      </c>
    </row>
    <row r="13">
      <c r="A13" s="4" t="inlineStr">
        <is>
          <t>CLM-100070</t>
        </is>
      </c>
      <c r="B13" s="4" t="inlineStr">
        <is>
          <t>4216938</t>
        </is>
      </c>
      <c r="C13" s="4" t="inlineStr">
        <is>
          <t>Larkspur Textiles plc</t>
        </is>
      </c>
      <c r="D13" s="9" t="n">
        <v>45896</v>
      </c>
      <c r="E13" s="9" t="n">
        <v>46260</v>
      </c>
      <c r="F13" s="4" t="n">
        <v>100000</v>
      </c>
      <c r="G13" s="9" t="n">
        <v>46065</v>
      </c>
      <c r="H13" s="9" t="n">
        <v>46101</v>
      </c>
      <c r="I13" s="4" t="inlineStr">
        <is>
          <t>Closed</t>
        </is>
      </c>
      <c r="J13" s="4" t="inlineStr">
        <is>
          <t>GBP</t>
        </is>
      </c>
      <c r="K13" s="4" t="n">
        <v>4528.3</v>
      </c>
      <c r="L13" s="4" t="n">
        <v>0</v>
      </c>
      <c r="M13" s="4" t="n">
        <v>4528.3</v>
      </c>
      <c r="N13" s="4" t="inlineStr">
        <is>
          <t>OK</t>
        </is>
      </c>
    </row>
    <row r="14">
      <c r="A14" s="4" t="inlineStr">
        <is>
          <t>CLM-100077</t>
        </is>
      </c>
      <c r="B14" s="4" t="inlineStr">
        <is>
          <t>4085440</t>
        </is>
      </c>
      <c r="C14" s="4" t="inlineStr">
        <is>
          <t>Northcote Bakery LLP</t>
        </is>
      </c>
      <c r="D14" s="9" t="n">
        <v>45743</v>
      </c>
      <c r="E14" s="9" t="n">
        <v>46107</v>
      </c>
      <c r="F14" s="4" t="n">
        <v>1000000</v>
      </c>
      <c r="G14" s="9" t="n">
        <v>46053</v>
      </c>
      <c r="H14" s="9" t="n">
        <v>46086</v>
      </c>
      <c r="I14" s="4" t="inlineStr">
        <is>
          <t>Reopened</t>
        </is>
      </c>
      <c r="J14" s="4" t="inlineStr">
        <is>
          <t>GBP</t>
        </is>
      </c>
      <c r="K14" s="4" t="n">
        <v>37409.12</v>
      </c>
      <c r="L14" s="4" t="n">
        <v>25646.58</v>
      </c>
      <c r="M14" s="4" t="n">
        <v>63055.7</v>
      </c>
      <c r="N14" s="4" t="inlineStr">
        <is>
          <t>OK</t>
        </is>
      </c>
    </row>
    <row r="15">
      <c r="A15" s="4" t="inlineStr">
        <is>
          <t>CLM-100084</t>
        </is>
      </c>
      <c r="B15" s="4" t="inlineStr">
        <is>
          <t>4456540</t>
        </is>
      </c>
      <c r="C15" s="4" t="inlineStr">
        <is>
          <t>Merrow Builders LLP</t>
        </is>
      </c>
      <c r="D15" s="9" t="n">
        <v>45993</v>
      </c>
      <c r="E15" s="9" t="n">
        <v>46357</v>
      </c>
      <c r="F15" s="4" t="n">
        <v>500000</v>
      </c>
      <c r="G15" s="9" t="n">
        <v>46010</v>
      </c>
      <c r="H15" s="9" t="n">
        <v>46020</v>
      </c>
      <c r="I15" s="4" t="inlineStr">
        <is>
          <t>Open</t>
        </is>
      </c>
      <c r="J15" s="4" t="inlineStr">
        <is>
          <t>EUR</t>
        </is>
      </c>
      <c r="K15" s="4" t="n">
        <v>4037.03</v>
      </c>
      <c r="L15" s="4" t="n">
        <v>22850.07</v>
      </c>
      <c r="M15" s="4" t="n">
        <v>26887.1</v>
      </c>
      <c r="N15" s="4" t="inlineStr">
        <is>
          <t>OK</t>
        </is>
      </c>
    </row>
    <row r="16">
      <c r="A16" s="4" t="inlineStr">
        <is>
          <t>CLM-100091</t>
        </is>
      </c>
      <c r="B16" s="4" t="inlineStr">
        <is>
          <t>4582303</t>
        </is>
      </c>
      <c r="C16" s="4" t="inlineStr">
        <is>
          <t>Upton Motors Ltd</t>
        </is>
      </c>
      <c r="D16" s="9" t="n">
        <v>45748</v>
      </c>
      <c r="E16" s="9" t="n">
        <v>46112</v>
      </c>
      <c r="F16" s="4" t="n">
        <v>250000</v>
      </c>
      <c r="G16" s="9" t="n">
        <v>46021</v>
      </c>
      <c r="H16" s="9" t="n">
        <v>46028</v>
      </c>
      <c r="I16" s="4" t="inlineStr">
        <is>
          <t>Open</t>
        </is>
      </c>
      <c r="J16" s="4" t="inlineStr">
        <is>
          <t>USD</t>
        </is>
      </c>
      <c r="K16" s="4" t="n">
        <v>12712.93</v>
      </c>
      <c r="L16" s="4" t="n">
        <v>8417.950000000001</v>
      </c>
      <c r="M16" s="4" t="n">
        <v>21130.88</v>
      </c>
      <c r="N16" s="4" t="inlineStr">
        <is>
          <t>OK</t>
        </is>
      </c>
    </row>
    <row r="17">
      <c r="A17" s="4" t="inlineStr">
        <is>
          <t>CLM-100098</t>
        </is>
      </c>
      <c r="B17" s="4" t="inlineStr">
        <is>
          <t>4508107</t>
        </is>
      </c>
      <c r="C17" s="4" t="inlineStr">
        <is>
          <t>Oakham Dental &amp; Sons</t>
        </is>
      </c>
      <c r="D17" s="9" t="n">
        <v>45985</v>
      </c>
      <c r="E17" s="9" t="n">
        <v>46349</v>
      </c>
      <c r="F17" s="4" t="n">
        <v>100000</v>
      </c>
      <c r="G17" s="9" t="n">
        <v>46267</v>
      </c>
      <c r="H17" s="9" t="n">
        <v>46278</v>
      </c>
      <c r="I17" s="4" t="inlineStr">
        <is>
          <t>Closed</t>
        </is>
      </c>
      <c r="J17" s="4" t="inlineStr">
        <is>
          <t>GBP</t>
        </is>
      </c>
      <c r="K17" s="4" t="n">
        <v>2391.73</v>
      </c>
      <c r="L17" s="4" t="n">
        <v>0</v>
      </c>
      <c r="M17" s="4" t="n">
        <v>2391.73</v>
      </c>
      <c r="N17" s="4" t="inlineStr">
        <is>
          <t>OK</t>
        </is>
      </c>
    </row>
    <row r="18">
      <c r="A18" s="4" t="inlineStr">
        <is>
          <t>CLM-100105</t>
        </is>
      </c>
      <c r="B18" s="4" t="inlineStr">
        <is>
          <t>4549196</t>
        </is>
      </c>
      <c r="C18" s="4" t="inlineStr">
        <is>
          <t>Larkspur Florists LLP</t>
        </is>
      </c>
      <c r="D18" s="9" t="n">
        <v>45814</v>
      </c>
      <c r="E18" s="9" t="n">
        <v>46178</v>
      </c>
      <c r="F18" s="4" t="n">
        <v>500000</v>
      </c>
      <c r="G18" s="9" t="n">
        <v>45937</v>
      </c>
      <c r="H18" s="9" t="n">
        <v>45941</v>
      </c>
      <c r="I18" s="4" t="inlineStr">
        <is>
          <t>Open</t>
        </is>
      </c>
      <c r="J18" s="4" t="inlineStr">
        <is>
          <t>EUR</t>
        </is>
      </c>
      <c r="K18" s="4" t="n">
        <v>15685.88</v>
      </c>
      <c r="L18" s="4" t="n">
        <v>16022.52</v>
      </c>
      <c r="M18" s="4" t="n">
        <v>31708.4</v>
      </c>
      <c r="N18" s="4" t="inlineStr">
        <is>
          <t>OK</t>
        </is>
      </c>
    </row>
    <row r="19">
      <c r="A19" s="4" t="inlineStr">
        <is>
          <t>CLM-100112</t>
        </is>
      </c>
      <c r="B19" s="4" t="inlineStr">
        <is>
          <t>4424165</t>
        </is>
      </c>
      <c r="C19" s="4" t="inlineStr">
        <is>
          <t>Ballina Logistics Holdings</t>
        </is>
      </c>
      <c r="D19" s="9" t="n">
        <v>45817</v>
      </c>
      <c r="E19" s="9" t="n">
        <v>46181</v>
      </c>
      <c r="F19" s="4" t="n">
        <v>1000000</v>
      </c>
      <c r="G19" s="9" t="n">
        <v>45962</v>
      </c>
      <c r="H19" s="9" t="n">
        <v>45981</v>
      </c>
      <c r="I19" s="4" t="inlineStr">
        <is>
          <t>Reopened</t>
        </is>
      </c>
      <c r="J19" s="4" t="inlineStr">
        <is>
          <t>GBP</t>
        </is>
      </c>
      <c r="K19" s="4" t="n">
        <v>47341.22</v>
      </c>
      <c r="L19" s="4" t="n">
        <v>66789</v>
      </c>
      <c r="M19" s="4" t="n">
        <v>114130.22</v>
      </c>
      <c r="N19" s="4" t="inlineStr">
        <is>
          <t>OK</t>
        </is>
      </c>
    </row>
    <row r="20">
      <c r="A20" s="4" t="inlineStr">
        <is>
          <t>CLM-100119</t>
        </is>
      </c>
      <c r="B20" s="4" t="inlineStr">
        <is>
          <t>4528672</t>
        </is>
      </c>
      <c r="C20" s="4" t="inlineStr">
        <is>
          <t>Thornbury Joinery LLP</t>
        </is>
      </c>
      <c r="D20" s="9" t="n">
        <v>45956</v>
      </c>
      <c r="E20" s="9" t="n">
        <v>46320</v>
      </c>
      <c r="F20" s="4" t="n">
        <v>250000</v>
      </c>
      <c r="G20" s="9" t="n">
        <v>46118</v>
      </c>
      <c r="H20" s="9" t="n">
        <v>46130</v>
      </c>
      <c r="I20" s="4" t="inlineStr">
        <is>
          <t>Open</t>
        </is>
      </c>
      <c r="J20" s="4" t="inlineStr">
        <is>
          <t>USD</t>
        </is>
      </c>
      <c r="K20" s="4" t="n">
        <v>58504.52</v>
      </c>
      <c r="L20" s="4" t="n">
        <v>45675.74</v>
      </c>
      <c r="M20" s="4" t="n">
        <v>104180.26</v>
      </c>
      <c r="N20" s="4" t="inlineStr">
        <is>
          <t>OK</t>
        </is>
      </c>
    </row>
    <row r="21">
      <c r="A21" s="4" t="inlineStr">
        <is>
          <t>CLM-100126</t>
        </is>
      </c>
      <c r="B21" s="4" t="inlineStr">
        <is>
          <t>4540467</t>
        </is>
      </c>
      <c r="C21" s="4" t="inlineStr">
        <is>
          <t>Ashby Freight Holdings</t>
        </is>
      </c>
      <c r="D21" s="9" t="n">
        <v>45677</v>
      </c>
      <c r="E21" s="9" t="n">
        <v>46041</v>
      </c>
      <c r="F21" s="4" t="n">
        <v>100000</v>
      </c>
      <c r="G21" s="9" t="n">
        <v>45845</v>
      </c>
      <c r="H21" s="9" t="n">
        <v>45859</v>
      </c>
      <c r="I21" s="4" t="inlineStr">
        <is>
          <t>Open</t>
        </is>
      </c>
      <c r="J21" s="4" t="inlineStr">
        <is>
          <t>GBP</t>
        </is>
      </c>
      <c r="K21" s="4" t="n">
        <v>37408.35</v>
      </c>
      <c r="L21" s="4" t="n">
        <v>34407.12</v>
      </c>
      <c r="M21" s="4" t="n">
        <v>71815.47</v>
      </c>
      <c r="N21" s="4" t="inlineStr">
        <is>
          <t>OK</t>
        </is>
      </c>
    </row>
    <row r="22">
      <c r="A22" s="4" t="inlineStr">
        <is>
          <t>CLM-100133</t>
        </is>
      </c>
      <c r="B22" s="4" t="inlineStr">
        <is>
          <t>4716029</t>
        </is>
      </c>
      <c r="C22" s="4" t="inlineStr">
        <is>
          <t>Rathmore Bakery Holdings</t>
        </is>
      </c>
      <c r="D22" s="9" t="n">
        <v>46013</v>
      </c>
      <c r="E22" s="9" t="n">
        <v>46377</v>
      </c>
      <c r="F22" s="4" t="n">
        <v>100000</v>
      </c>
      <c r="G22" s="9" t="n">
        <v>46285</v>
      </c>
      <c r="H22" s="9" t="n">
        <v>46295</v>
      </c>
      <c r="I22" s="4" t="inlineStr">
        <is>
          <t>Closed</t>
        </is>
      </c>
      <c r="J22" s="4" t="inlineStr">
        <is>
          <t>GBP</t>
        </is>
      </c>
      <c r="K22" s="4" t="n">
        <v>90000</v>
      </c>
      <c r="L22" s="5" t="n">
        <v>60000</v>
      </c>
      <c r="M22" s="6" t="n">
        <v>150000</v>
      </c>
      <c r="N22" s="6" t="inlineStr">
        <is>
          <t>Error: Incurred exceeds the policy limit: total incurred 150,000.00 is above the policy limit 100,000.00. | Warning: Closed claim still holds a reserve: claim is closed but still holds a reserve of 60,000.00.</t>
        </is>
      </c>
    </row>
    <row r="23">
      <c r="A23" s="4" t="inlineStr">
        <is>
          <t>CLM-100140</t>
        </is>
      </c>
      <c r="B23" s="4" t="inlineStr">
        <is>
          <t>4264082</t>
        </is>
      </c>
      <c r="C23" s="4" t="inlineStr">
        <is>
          <t>Quarry Farms Holdings</t>
        </is>
      </c>
      <c r="D23" s="9" t="n">
        <v>45704</v>
      </c>
      <c r="E23" s="9" t="n">
        <v>46068</v>
      </c>
      <c r="F23" s="4" t="n">
        <v>250000</v>
      </c>
      <c r="G23" s="9" t="n">
        <v>45911</v>
      </c>
      <c r="H23" s="9" t="n">
        <v>45943</v>
      </c>
      <c r="I23" s="4" t="inlineStr">
        <is>
          <t>Closed</t>
        </is>
      </c>
      <c r="J23" s="4" t="inlineStr">
        <is>
          <t>GBP</t>
        </is>
      </c>
      <c r="K23" s="4" t="n">
        <v>46441.73</v>
      </c>
      <c r="L23" s="4" t="n">
        <v>0</v>
      </c>
      <c r="M23" s="4" t="n">
        <v>46441.73</v>
      </c>
      <c r="N23" s="4" t="inlineStr">
        <is>
          <t>OK</t>
        </is>
      </c>
    </row>
    <row r="24">
      <c r="A24" s="4" t="inlineStr">
        <is>
          <t>CLM-100147</t>
        </is>
      </c>
      <c r="B24" s="4" t="inlineStr">
        <is>
          <t>4114476</t>
        </is>
      </c>
      <c r="C24" s="4" t="inlineStr">
        <is>
          <t>Galway Electrical Limited</t>
        </is>
      </c>
      <c r="D24" s="9" t="n">
        <v>45987</v>
      </c>
      <c r="E24" s="9" t="n">
        <v>46351</v>
      </c>
      <c r="F24" s="4" t="n">
        <v>1000000</v>
      </c>
      <c r="G24" s="9" t="n">
        <v>46243</v>
      </c>
      <c r="H24" s="9" t="n">
        <v>46248</v>
      </c>
      <c r="I24" s="4" t="inlineStr">
        <is>
          <t>Open</t>
        </is>
      </c>
      <c r="J24" s="4" t="inlineStr">
        <is>
          <t>USD</t>
        </is>
      </c>
      <c r="K24" s="4" t="n">
        <v>13302.62</v>
      </c>
      <c r="L24" s="4" t="n">
        <v>11806.01</v>
      </c>
      <c r="M24" s="4" t="n">
        <v>25108.63</v>
      </c>
      <c r="N24" s="4" t="inlineStr">
        <is>
          <t>OK</t>
        </is>
      </c>
    </row>
    <row r="25">
      <c r="A25" s="4" t="inlineStr">
        <is>
          <t>CLM-100154</t>
        </is>
      </c>
      <c r="B25" s="4" t="inlineStr">
        <is>
          <t>4233884</t>
        </is>
      </c>
      <c r="C25" s="4" t="inlineStr">
        <is>
          <t>Thornbury Haulage LLP</t>
        </is>
      </c>
      <c r="D25" s="9" t="n">
        <v>45813</v>
      </c>
      <c r="E25" s="9" t="n">
        <v>46177</v>
      </c>
      <c r="F25" s="4" t="n">
        <v>1000000</v>
      </c>
      <c r="G25" s="9" t="n">
        <v>46072</v>
      </c>
      <c r="H25" s="9" t="n">
        <v>46076</v>
      </c>
      <c r="I25" s="4" t="inlineStr">
        <is>
          <t>Open</t>
        </is>
      </c>
      <c r="J25" s="4" t="inlineStr">
        <is>
          <t>EUR</t>
        </is>
      </c>
      <c r="K25" s="4" t="n">
        <v>6445.85</v>
      </c>
      <c r="L25" s="4" t="n">
        <v>38854.39</v>
      </c>
      <c r="M25" s="4" t="n">
        <v>45300.24</v>
      </c>
      <c r="N25" s="4" t="inlineStr">
        <is>
          <t>OK</t>
        </is>
      </c>
    </row>
    <row r="26">
      <c r="A26" s="4" t="inlineStr">
        <is>
          <t>CLM-100161</t>
        </is>
      </c>
      <c r="B26" s="4" t="inlineStr">
        <is>
          <t>4846142</t>
        </is>
      </c>
      <c r="C26" s="4" t="inlineStr">
        <is>
          <t>Dunmore Logistics Ltd</t>
        </is>
      </c>
      <c r="D26" s="9" t="n">
        <v>45876</v>
      </c>
      <c r="E26" s="9" t="n">
        <v>46240</v>
      </c>
      <c r="F26" s="4" t="n">
        <v>250000</v>
      </c>
      <c r="G26" s="9" t="n">
        <v>45964</v>
      </c>
      <c r="H26" s="9" t="n">
        <v>45970</v>
      </c>
      <c r="I26" s="4" t="inlineStr">
        <is>
          <t>Open</t>
        </is>
      </c>
      <c r="J26" s="4" t="inlineStr">
        <is>
          <t>GBP</t>
        </is>
      </c>
      <c r="K26" s="4" t="n">
        <v>34183.54</v>
      </c>
      <c r="L26" s="4" t="n">
        <v>65776.41</v>
      </c>
      <c r="M26" s="4" t="n">
        <v>99959.95</v>
      </c>
      <c r="N26" s="4" t="inlineStr">
        <is>
          <t>OK</t>
        </is>
      </c>
    </row>
    <row r="27">
      <c r="A27" s="4" t="inlineStr">
        <is>
          <t>CLM-100168</t>
        </is>
      </c>
      <c r="B27" s="4" t="inlineStr">
        <is>
          <t>4432596</t>
        </is>
      </c>
      <c r="C27" s="4" t="inlineStr">
        <is>
          <t>Larkspur Joinery Group</t>
        </is>
      </c>
      <c r="D27" s="9" t="n">
        <v>45982</v>
      </c>
      <c r="E27" s="9" t="n">
        <v>46346</v>
      </c>
      <c r="F27" s="4" t="n">
        <v>100000</v>
      </c>
      <c r="G27" s="9" t="n">
        <v>46112</v>
      </c>
      <c r="H27" s="9" t="n">
        <v>46149</v>
      </c>
      <c r="I27" s="4" t="inlineStr">
        <is>
          <t>Open</t>
        </is>
      </c>
      <c r="J27" s="4" t="inlineStr">
        <is>
          <t>GBP</t>
        </is>
      </c>
      <c r="K27" s="4" t="n">
        <v>7983.86</v>
      </c>
      <c r="L27" s="4" t="n">
        <v>16186.63</v>
      </c>
      <c r="M27" s="4" t="n">
        <v>24170.49</v>
      </c>
      <c r="N27" s="4" t="inlineStr">
        <is>
          <t>OK</t>
        </is>
      </c>
    </row>
    <row r="28">
      <c r="A28" s="4" t="inlineStr">
        <is>
          <t>CLM-100175</t>
        </is>
      </c>
      <c r="B28" s="4" t="inlineStr">
        <is>
          <t>4312520</t>
        </is>
      </c>
      <c r="C28" s="4" t="inlineStr">
        <is>
          <t>Merrow Bakery &amp; Sons</t>
        </is>
      </c>
      <c r="D28" s="9" t="n">
        <v>45784</v>
      </c>
      <c r="E28" s="9" t="n">
        <v>46148</v>
      </c>
      <c r="F28" s="4" t="n">
        <v>250000</v>
      </c>
      <c r="G28" s="9" t="n">
        <v>45840</v>
      </c>
      <c r="H28" s="9" t="n">
        <v>45880</v>
      </c>
      <c r="I28" s="4" t="inlineStr">
        <is>
          <t>Closed</t>
        </is>
      </c>
      <c r="J28" s="4" t="inlineStr">
        <is>
          <t>USD</t>
        </is>
      </c>
      <c r="K28" s="4" t="n">
        <v>33105</v>
      </c>
      <c r="L28" s="4" t="n">
        <v>0</v>
      </c>
      <c r="M28" s="4" t="n">
        <v>33105</v>
      </c>
      <c r="N28" s="4" t="inlineStr">
        <is>
          <t>OK</t>
        </is>
      </c>
    </row>
    <row r="29">
      <c r="A29" s="4" t="inlineStr">
        <is>
          <t>CLM-100182</t>
        </is>
      </c>
      <c r="B29" s="4" t="inlineStr">
        <is>
          <t>4377236</t>
        </is>
      </c>
      <c r="C29" s="4" t="inlineStr">
        <is>
          <t>Pembroke Engineering Holdings</t>
        </is>
      </c>
      <c r="D29" s="9" t="n">
        <v>45902</v>
      </c>
      <c r="E29" s="9" t="n">
        <v>46266</v>
      </c>
      <c r="F29" s="4" t="n">
        <v>500000</v>
      </c>
      <c r="G29" s="9" t="n">
        <v>46061</v>
      </c>
      <c r="H29" s="9" t="n">
        <v>46071</v>
      </c>
      <c r="I29" s="4" t="inlineStr">
        <is>
          <t>Open</t>
        </is>
      </c>
      <c r="J29" s="4" t="inlineStr">
        <is>
          <t>USD</t>
        </is>
      </c>
      <c r="K29" s="4" t="n">
        <v>38471.66</v>
      </c>
      <c r="L29" s="4" t="n">
        <v>39980.28</v>
      </c>
      <c r="M29" s="4" t="n">
        <v>78451.94</v>
      </c>
      <c r="N29" s="4" t="inlineStr">
        <is>
          <t>OK</t>
        </is>
      </c>
    </row>
    <row r="30">
      <c r="A30" s="4" t="inlineStr">
        <is>
          <t>CLM-100189</t>
        </is>
      </c>
      <c r="B30" s="4" t="inlineStr">
        <is>
          <t>4773920</t>
        </is>
      </c>
      <c r="C30" s="4" t="inlineStr">
        <is>
          <t>Inglewood Engineering Limited</t>
        </is>
      </c>
      <c r="D30" s="9" t="n">
        <v>45962</v>
      </c>
      <c r="E30" s="9" t="n">
        <v>46326</v>
      </c>
      <c r="F30" s="4" t="n">
        <v>100000</v>
      </c>
      <c r="G30" s="9" t="n">
        <v>46140</v>
      </c>
      <c r="H30" s="9" t="n">
        <v>46167</v>
      </c>
      <c r="I30" s="4" t="inlineStr">
        <is>
          <t>Closed</t>
        </is>
      </c>
      <c r="J30" s="4" t="inlineStr">
        <is>
          <t>USD</t>
        </is>
      </c>
      <c r="K30" s="4" t="n">
        <v>16328.46</v>
      </c>
      <c r="L30" s="4" t="n">
        <v>0</v>
      </c>
      <c r="M30" s="4" t="n">
        <v>16328.46</v>
      </c>
      <c r="N30" s="4" t="inlineStr">
        <is>
          <t>OK</t>
        </is>
      </c>
    </row>
    <row r="31">
      <c r="A31" s="4" t="inlineStr">
        <is>
          <t>CLM-100196</t>
        </is>
      </c>
      <c r="B31" s="4" t="inlineStr">
        <is>
          <t>4772693</t>
        </is>
      </c>
      <c r="C31" s="4" t="inlineStr">
        <is>
          <t>Harbour Textiles Group</t>
        </is>
      </c>
      <c r="D31" s="9" t="n">
        <v>45733</v>
      </c>
      <c r="E31" s="9" t="n">
        <v>46097</v>
      </c>
      <c r="F31" s="4" t="n">
        <v>1000000</v>
      </c>
      <c r="G31" s="9" t="n">
        <v>45768</v>
      </c>
      <c r="H31" s="9" t="n">
        <v>45806</v>
      </c>
      <c r="I31" s="4" t="inlineStr">
        <is>
          <t>Open</t>
        </is>
      </c>
      <c r="J31" s="4" t="inlineStr">
        <is>
          <t>USD</t>
        </is>
      </c>
      <c r="K31" s="4" t="n">
        <v>33345.01</v>
      </c>
      <c r="L31" s="4" t="n">
        <v>60361.16</v>
      </c>
      <c r="M31" s="4" t="n">
        <v>93706.17</v>
      </c>
      <c r="N31" s="4" t="inlineStr">
        <is>
          <t>OK</t>
        </is>
      </c>
    </row>
    <row r="32">
      <c r="A32" s="4" t="inlineStr">
        <is>
          <t>CLM-100203</t>
        </is>
      </c>
      <c r="B32" s="4" t="inlineStr">
        <is>
          <t>4412040</t>
        </is>
      </c>
      <c r="C32" s="4" t="inlineStr">
        <is>
          <t>Fenwick Logistics LLP</t>
        </is>
      </c>
      <c r="D32" s="9" t="n">
        <v>45885</v>
      </c>
      <c r="E32" s="9" t="n">
        <v>46249</v>
      </c>
      <c r="F32" s="4" t="n">
        <v>100000</v>
      </c>
      <c r="G32" s="9" t="n">
        <v>45971</v>
      </c>
      <c r="H32" s="9" t="n">
        <v>45981</v>
      </c>
      <c r="I32" s="4" t="inlineStr">
        <is>
          <t>Open</t>
        </is>
      </c>
      <c r="J32" s="4" t="inlineStr">
        <is>
          <t>GBP</t>
        </is>
      </c>
      <c r="K32" s="4" t="n">
        <v>36486.81</v>
      </c>
      <c r="L32" s="4" t="n">
        <v>34565.86</v>
      </c>
      <c r="M32" s="4" t="n">
        <v>71052.67</v>
      </c>
      <c r="N32" s="4" t="inlineStr">
        <is>
          <t>OK</t>
        </is>
      </c>
    </row>
    <row r="33">
      <c r="A33" s="4" t="inlineStr">
        <is>
          <t>CLM-100210</t>
        </is>
      </c>
      <c r="B33" s="4" t="inlineStr">
        <is>
          <t>4800843</t>
        </is>
      </c>
      <c r="C33" s="4" t="inlineStr">
        <is>
          <t>Rathmore Textiles Limited</t>
        </is>
      </c>
      <c r="D33" s="9" t="n">
        <v>45857</v>
      </c>
      <c r="E33" s="9" t="n">
        <v>46221</v>
      </c>
      <c r="F33" s="4" t="n">
        <v>250000</v>
      </c>
      <c r="G33" s="9" t="n">
        <v>46012</v>
      </c>
      <c r="H33" s="9" t="n">
        <v>46044</v>
      </c>
      <c r="I33" s="4" t="inlineStr">
        <is>
          <t>Open</t>
        </is>
      </c>
      <c r="J33" s="4" t="inlineStr">
        <is>
          <t>GBP</t>
        </is>
      </c>
      <c r="K33" s="4" t="n">
        <v>3391.42</v>
      </c>
      <c r="L33" s="4" t="n">
        <v>22276.57</v>
      </c>
      <c r="M33" s="4" t="n">
        <v>25667.99</v>
      </c>
      <c r="N33" s="4" t="inlineStr">
        <is>
          <t>OK</t>
        </is>
      </c>
    </row>
    <row r="34">
      <c r="A34" s="4" t="inlineStr">
        <is>
          <t>CLM-100217</t>
        </is>
      </c>
      <c r="B34" s="4" t="inlineStr">
        <is>
          <t>4823173</t>
        </is>
      </c>
      <c r="C34" s="4" t="inlineStr">
        <is>
          <t>Vale Pharmacy LLP</t>
        </is>
      </c>
      <c r="D34" s="9" t="n">
        <v>45827</v>
      </c>
      <c r="E34" s="9" t="n">
        <v>46191</v>
      </c>
      <c r="F34" s="4" t="n">
        <v>100000</v>
      </c>
      <c r="G34" s="9" t="n">
        <v>45844</v>
      </c>
      <c r="H34" s="9" t="n">
        <v>45867</v>
      </c>
      <c r="I34" s="4" t="inlineStr">
        <is>
          <t>Open</t>
        </is>
      </c>
      <c r="J34" s="4" t="inlineStr">
        <is>
          <t>EUR</t>
        </is>
      </c>
      <c r="K34" s="4" t="n">
        <v>7264.26</v>
      </c>
      <c r="L34" s="4" t="n">
        <v>16290.53</v>
      </c>
      <c r="M34" s="4" t="n">
        <v>23554.79</v>
      </c>
      <c r="N34" s="4" t="inlineStr">
        <is>
          <t>OK</t>
        </is>
      </c>
    </row>
    <row r="35">
      <c r="A35" s="4" t="inlineStr">
        <is>
          <t>CLM-100224</t>
        </is>
      </c>
      <c r="B35" s="4" t="inlineStr">
        <is>
          <t>4852002</t>
        </is>
      </c>
      <c r="C35" s="4" t="inlineStr">
        <is>
          <t>Rathmore Electrical plc</t>
        </is>
      </c>
      <c r="D35" s="9" t="n">
        <v>45878</v>
      </c>
      <c r="E35" s="9" t="n">
        <v>46242</v>
      </c>
      <c r="F35" s="4" t="n">
        <v>1000000</v>
      </c>
      <c r="G35" s="9" t="n">
        <v>46030</v>
      </c>
      <c r="H35" s="9" t="n">
        <v>46058</v>
      </c>
      <c r="I35" s="4" t="inlineStr">
        <is>
          <t>Open</t>
        </is>
      </c>
      <c r="J35" s="4" t="inlineStr">
        <is>
          <t>EUR</t>
        </is>
      </c>
      <c r="K35" s="4" t="n">
        <v>17176.1</v>
      </c>
      <c r="L35" s="4" t="n">
        <v>50680.95</v>
      </c>
      <c r="M35" s="4" t="n">
        <v>67857.05</v>
      </c>
      <c r="N35" s="4" t="inlineStr">
        <is>
          <t>OK</t>
        </is>
      </c>
    </row>
    <row r="36">
      <c r="A36" s="4" t="inlineStr">
        <is>
          <t>CLM-100231</t>
        </is>
      </c>
      <c r="B36" s="4" t="inlineStr">
        <is>
          <t>4605783</t>
        </is>
      </c>
      <c r="C36" s="4" t="inlineStr">
        <is>
          <t>Fenwick Marine Holdings</t>
        </is>
      </c>
      <c r="D36" s="9" t="n">
        <v>45793</v>
      </c>
      <c r="E36" s="9" t="n">
        <v>46157</v>
      </c>
      <c r="F36" s="4" t="n">
        <v>100000</v>
      </c>
      <c r="G36" s="9" t="n">
        <v>46047</v>
      </c>
      <c r="H36" s="9" t="n">
        <v>46070</v>
      </c>
      <c r="I36" s="4" t="inlineStr">
        <is>
          <t>Open</t>
        </is>
      </c>
      <c r="J36" s="4" t="inlineStr">
        <is>
          <t>GBP</t>
        </is>
      </c>
      <c r="K36" s="4" t="n">
        <v>41157.04</v>
      </c>
      <c r="L36" s="4" t="n">
        <v>18252.54</v>
      </c>
      <c r="M36" s="4" t="n">
        <v>59409.58</v>
      </c>
      <c r="N36" s="4" t="inlineStr">
        <is>
          <t>OK</t>
        </is>
      </c>
    </row>
    <row r="37">
      <c r="A37" s="4" t="inlineStr">
        <is>
          <t>CLM-100238</t>
        </is>
      </c>
      <c r="B37" s="4" t="inlineStr">
        <is>
          <t>4203539</t>
        </is>
      </c>
      <c r="C37" s="4" t="inlineStr">
        <is>
          <t>Merrow Pharmacy Holdings</t>
        </is>
      </c>
      <c r="D37" s="9" t="n">
        <v>45937</v>
      </c>
      <c r="E37" s="9" t="n">
        <v>46301</v>
      </c>
      <c r="F37" s="4" t="n">
        <v>500000</v>
      </c>
      <c r="G37" s="9" t="n">
        <v>46186</v>
      </c>
      <c r="H37" s="9" t="n">
        <v>46199</v>
      </c>
      <c r="I37" s="4" t="inlineStr">
        <is>
          <t>Open</t>
        </is>
      </c>
      <c r="J37" s="4" t="inlineStr">
        <is>
          <t>GBP</t>
        </is>
      </c>
      <c r="K37" s="4" t="n">
        <v>53349.08</v>
      </c>
      <c r="L37" s="4" t="n">
        <v>72457.12</v>
      </c>
      <c r="M37" s="4" t="n">
        <v>125806.2</v>
      </c>
      <c r="N37" s="4" t="inlineStr">
        <is>
          <t>OK</t>
        </is>
      </c>
    </row>
    <row r="38">
      <c r="A38" s="4" t="inlineStr">
        <is>
          <t>CLM-100245</t>
        </is>
      </c>
      <c r="B38" s="4" t="inlineStr">
        <is>
          <t>4447927</t>
        </is>
      </c>
      <c r="C38" s="4" t="inlineStr">
        <is>
          <t>Upton Marine Holdings</t>
        </is>
      </c>
      <c r="D38" s="9" t="n">
        <v>46014</v>
      </c>
      <c r="E38" s="9" t="n">
        <v>46378</v>
      </c>
      <c r="F38" s="4" t="n">
        <v>250000</v>
      </c>
      <c r="G38" s="9" t="n">
        <v>46271</v>
      </c>
      <c r="H38" s="9" t="n">
        <v>46288</v>
      </c>
      <c r="I38" s="4" t="inlineStr">
        <is>
          <t>Closed</t>
        </is>
      </c>
      <c r="J38" s="4" t="inlineStr">
        <is>
          <t>USD</t>
        </is>
      </c>
      <c r="K38" s="4" t="n">
        <v>30860.99</v>
      </c>
      <c r="L38" s="4" t="n">
        <v>0</v>
      </c>
      <c r="M38" s="4" t="n">
        <v>30860.99</v>
      </c>
      <c r="N38" s="4" t="inlineStr">
        <is>
          <t>OK</t>
        </is>
      </c>
    </row>
    <row r="39">
      <c r="A39" s="4" t="inlineStr">
        <is>
          <t>CLM-100252</t>
        </is>
      </c>
      <c r="B39" s="4" t="inlineStr">
        <is>
          <t>4197651</t>
        </is>
      </c>
      <c r="C39" s="4" t="inlineStr">
        <is>
          <t>Inglewood Print &amp; Sons</t>
        </is>
      </c>
      <c r="D39" s="9" t="n">
        <v>45963</v>
      </c>
      <c r="E39" s="9" t="n">
        <v>46327</v>
      </c>
      <c r="F39" s="4" t="n">
        <v>100000</v>
      </c>
      <c r="G39" s="9" t="n">
        <v>46162</v>
      </c>
      <c r="H39" s="9" t="n">
        <v>46175</v>
      </c>
      <c r="I39" s="4" t="inlineStr">
        <is>
          <t>Reopened</t>
        </is>
      </c>
      <c r="J39" s="4" t="inlineStr">
        <is>
          <t>USD</t>
        </is>
      </c>
      <c r="K39" s="4" t="n">
        <v>32356.8</v>
      </c>
      <c r="L39" s="4" t="n">
        <v>15720.06</v>
      </c>
      <c r="M39" s="4" t="n">
        <v>48076.86</v>
      </c>
      <c r="N39" s="4" t="inlineStr">
        <is>
          <t>OK</t>
        </is>
      </c>
    </row>
    <row r="40">
      <c r="A40" s="4" t="inlineStr">
        <is>
          <t>CLM-100259</t>
        </is>
      </c>
      <c r="B40" s="4" t="inlineStr">
        <is>
          <t>4536056</t>
        </is>
      </c>
      <c r="C40" s="4" t="inlineStr">
        <is>
          <t>Harbour Farms Ltd</t>
        </is>
      </c>
      <c r="D40" s="9" t="n">
        <v>45779</v>
      </c>
      <c r="E40" s="9" t="n">
        <v>46143</v>
      </c>
      <c r="F40" s="4" t="n">
        <v>500000</v>
      </c>
      <c r="G40" s="9" t="n">
        <v>45825</v>
      </c>
      <c r="H40" s="9" t="n">
        <v>45831</v>
      </c>
      <c r="I40" s="4" t="inlineStr">
        <is>
          <t>Open</t>
        </is>
      </c>
      <c r="J40" s="4" t="inlineStr">
        <is>
          <t>USD</t>
        </is>
      </c>
      <c r="K40" s="4" t="n">
        <v>34367.1</v>
      </c>
      <c r="L40" s="4" t="n">
        <v>6576.89</v>
      </c>
      <c r="M40" s="4" t="n">
        <v>40943.99</v>
      </c>
      <c r="N40" s="4" t="inlineStr">
        <is>
          <t>OK</t>
        </is>
      </c>
    </row>
    <row r="41">
      <c r="A41" s="4" t="inlineStr">
        <is>
          <t>CLM-100266</t>
        </is>
      </c>
      <c r="B41" s="4" t="inlineStr">
        <is>
          <t>4466665</t>
        </is>
      </c>
      <c r="C41" s="4" t="inlineStr">
        <is>
          <t>Galway Haulage plc</t>
        </is>
      </c>
      <c r="D41" s="9" t="n">
        <v>45970</v>
      </c>
      <c r="E41" s="9" t="n">
        <v>46334</v>
      </c>
      <c r="F41" s="4" t="n">
        <v>1000000</v>
      </c>
      <c r="G41" s="9" t="n">
        <v>46035</v>
      </c>
      <c r="H41" s="9" t="n">
        <v>46052</v>
      </c>
      <c r="I41" s="4" t="inlineStr">
        <is>
          <t>Closed</t>
        </is>
      </c>
      <c r="J41" s="4" t="inlineStr">
        <is>
          <t>GBP</t>
        </is>
      </c>
      <c r="K41" s="4" t="n">
        <v>21651.63</v>
      </c>
      <c r="L41" s="4" t="n">
        <v>0</v>
      </c>
      <c r="M41" s="4" t="n">
        <v>21651.63</v>
      </c>
      <c r="N41" s="4" t="inlineStr">
        <is>
          <t>OK</t>
        </is>
      </c>
    </row>
    <row r="42">
      <c r="A42" s="4" t="inlineStr">
        <is>
          <t>CLM-100273</t>
        </is>
      </c>
      <c r="B42" s="4" t="inlineStr">
        <is>
          <t>4651955</t>
        </is>
      </c>
      <c r="C42" s="4" t="inlineStr">
        <is>
          <t>Inglewood Dental Ltd</t>
        </is>
      </c>
      <c r="D42" s="9" t="n">
        <v>45798</v>
      </c>
      <c r="E42" s="9" t="n">
        <v>46162</v>
      </c>
      <c r="F42" s="4" t="n">
        <v>1000000</v>
      </c>
      <c r="G42" s="9" t="n">
        <v>45883</v>
      </c>
      <c r="H42" s="9" t="n">
        <v>45903</v>
      </c>
      <c r="I42" s="4" t="inlineStr">
        <is>
          <t>Closed</t>
        </is>
      </c>
      <c r="J42" s="4" t="inlineStr">
        <is>
          <t>GBP</t>
        </is>
      </c>
      <c r="K42" s="4" t="n">
        <v>35680.28</v>
      </c>
      <c r="L42" s="4" t="n">
        <v>0</v>
      </c>
      <c r="M42" s="4" t="n">
        <v>35680.28</v>
      </c>
      <c r="N42" s="4" t="inlineStr">
        <is>
          <t>OK</t>
        </is>
      </c>
    </row>
    <row r="43">
      <c r="A43" s="4" t="inlineStr">
        <is>
          <t>CLM-100280</t>
        </is>
      </c>
      <c r="B43" s="4" t="inlineStr">
        <is>
          <t>4427793</t>
        </is>
      </c>
      <c r="C43" s="4" t="inlineStr">
        <is>
          <t>Ellery Florists Group</t>
        </is>
      </c>
      <c r="D43" s="9" t="n">
        <v>45660</v>
      </c>
      <c r="E43" s="9" t="n">
        <v>46024</v>
      </c>
      <c r="F43" s="4" t="n">
        <v>100000</v>
      </c>
      <c r="G43" s="9" t="n">
        <v>45688</v>
      </c>
      <c r="H43" s="9" t="n">
        <v>45713</v>
      </c>
      <c r="I43" s="4" t="inlineStr">
        <is>
          <t>Open</t>
        </is>
      </c>
      <c r="J43" s="4" t="inlineStr">
        <is>
          <t>USD</t>
        </is>
      </c>
      <c r="K43" s="4" t="n">
        <v>25818.32</v>
      </c>
      <c r="L43" s="4" t="n">
        <v>3826.39</v>
      </c>
      <c r="M43" s="4" t="n">
        <v>29644.71</v>
      </c>
      <c r="N43" s="4" t="inlineStr">
        <is>
          <t>OK</t>
        </is>
      </c>
    </row>
    <row r="44">
      <c r="A44" s="4" t="inlineStr">
        <is>
          <t>CLM-100287</t>
        </is>
      </c>
      <c r="B44" s="4" t="inlineStr">
        <is>
          <t>4095520</t>
        </is>
      </c>
      <c r="C44" s="4" t="inlineStr">
        <is>
          <t>Harbour Dental Ltd</t>
        </is>
      </c>
      <c r="D44" s="9" t="n">
        <v>45969</v>
      </c>
      <c r="E44" s="9" t="n">
        <v>46333</v>
      </c>
      <c r="F44" s="4" t="n">
        <v>500000</v>
      </c>
      <c r="G44" s="9" t="n">
        <v>46225</v>
      </c>
      <c r="H44" s="9" t="n">
        <v>46244</v>
      </c>
      <c r="I44" s="4" t="inlineStr">
        <is>
          <t>Open</t>
        </is>
      </c>
      <c r="J44" s="4" t="inlineStr">
        <is>
          <t>GBP</t>
        </is>
      </c>
      <c r="K44" s="4" t="n">
        <v>52347.17</v>
      </c>
      <c r="L44" s="4" t="n">
        <v>67402.58</v>
      </c>
      <c r="M44" s="4" t="n">
        <v>119749.75</v>
      </c>
      <c r="N44" s="4" t="inlineStr">
        <is>
          <t>OK</t>
        </is>
      </c>
    </row>
    <row r="45">
      <c r="A45" s="4" t="inlineStr">
        <is>
          <t>CLM-100294</t>
        </is>
      </c>
      <c r="B45" s="4" t="inlineStr">
        <is>
          <t>4185325</t>
        </is>
      </c>
      <c r="C45" s="4" t="inlineStr">
        <is>
          <t>Kestrel Garages plc</t>
        </is>
      </c>
      <c r="D45" s="9" t="n">
        <v>45735</v>
      </c>
      <c r="E45" s="9" t="n">
        <v>46099</v>
      </c>
      <c r="F45" s="4" t="n">
        <v>500000</v>
      </c>
      <c r="G45" s="9" t="n">
        <v>45818</v>
      </c>
      <c r="H45" s="9" t="n">
        <v>45857</v>
      </c>
      <c r="I45" s="4" t="inlineStr">
        <is>
          <t>Open</t>
        </is>
      </c>
      <c r="J45" s="4" t="inlineStr">
        <is>
          <t>EUR</t>
        </is>
      </c>
      <c r="K45" s="4" t="n">
        <v>949.29</v>
      </c>
      <c r="L45" s="4" t="n">
        <v>17357.69</v>
      </c>
      <c r="M45" s="4" t="n">
        <v>18306.98</v>
      </c>
      <c r="N45" s="4" t="inlineStr">
        <is>
          <t>OK</t>
        </is>
      </c>
    </row>
    <row r="46">
      <c r="A46" s="4" t="inlineStr">
        <is>
          <t>CLM-100301</t>
        </is>
      </c>
      <c r="B46" s="4" t="inlineStr">
        <is>
          <t>4128067</t>
        </is>
      </c>
      <c r="C46" s="4" t="inlineStr">
        <is>
          <t>Selby Dental &amp; Sons</t>
        </is>
      </c>
      <c r="D46" s="9" t="n">
        <v>45908</v>
      </c>
      <c r="E46" s="9" t="n">
        <v>46272</v>
      </c>
      <c r="F46" s="4" t="n">
        <v>500000</v>
      </c>
      <c r="G46" s="9" t="n">
        <v>46015</v>
      </c>
      <c r="H46" s="9" t="n">
        <v>46049</v>
      </c>
      <c r="I46" s="4" t="inlineStr">
        <is>
          <t>Open</t>
        </is>
      </c>
      <c r="J46" s="4" t="inlineStr">
        <is>
          <t>USD</t>
        </is>
      </c>
      <c r="K46" s="4" t="n">
        <v>11010.03</v>
      </c>
      <c r="L46" s="4" t="n">
        <v>53822.5</v>
      </c>
      <c r="M46" s="4" t="n">
        <v>64832.53</v>
      </c>
      <c r="N46" s="4" t="inlineStr">
        <is>
          <t>OK</t>
        </is>
      </c>
    </row>
    <row r="47">
      <c r="A47" s="4" t="inlineStr">
        <is>
          <t>CLM-100308</t>
        </is>
      </c>
      <c r="B47" s="4" t="inlineStr">
        <is>
          <t>4409742</t>
        </is>
      </c>
      <c r="C47" s="4" t="inlineStr">
        <is>
          <t>Pembroke Hotels Limited</t>
        </is>
      </c>
      <c r="D47" s="9" t="n">
        <v>45659</v>
      </c>
      <c r="E47" s="9" t="n">
        <v>46023</v>
      </c>
      <c r="F47" s="4" t="n">
        <v>500000</v>
      </c>
      <c r="G47" s="9" t="n">
        <v>45883</v>
      </c>
      <c r="H47" s="9" t="n">
        <v>45906</v>
      </c>
      <c r="I47" s="4" t="inlineStr">
        <is>
          <t>Open</t>
        </is>
      </c>
      <c r="J47" s="4" t="inlineStr">
        <is>
          <t>EUR</t>
        </is>
      </c>
      <c r="K47" s="4" t="n">
        <v>795.5</v>
      </c>
      <c r="L47" s="4" t="n">
        <v>78053.33</v>
      </c>
      <c r="M47" s="4" t="n">
        <v>78848.83</v>
      </c>
      <c r="N47" s="4" t="inlineStr">
        <is>
          <t>OK</t>
        </is>
      </c>
    </row>
    <row r="48">
      <c r="A48" s="4" t="inlineStr">
        <is>
          <t>CLM-100315</t>
        </is>
      </c>
      <c r="B48" s="4" t="inlineStr">
        <is>
          <t>4135634</t>
        </is>
      </c>
      <c r="C48" s="4" t="inlineStr">
        <is>
          <t>Dunmore Dental LLP</t>
        </is>
      </c>
      <c r="D48" s="9" t="n">
        <v>45942</v>
      </c>
      <c r="E48" s="9" t="n">
        <v>46306</v>
      </c>
      <c r="F48" s="4" t="n">
        <v>500000</v>
      </c>
      <c r="G48" s="9" t="n">
        <v>46220</v>
      </c>
      <c r="H48" s="9" t="n">
        <v>46221</v>
      </c>
      <c r="I48" s="4" t="inlineStr">
        <is>
          <t>Open</t>
        </is>
      </c>
      <c r="J48" s="4" t="inlineStr">
        <is>
          <t>GBP</t>
        </is>
      </c>
      <c r="K48" s="4" t="n">
        <v>28218.15</v>
      </c>
      <c r="L48" s="4" t="n">
        <v>36352</v>
      </c>
      <c r="M48" s="4" t="n">
        <v>64570.15</v>
      </c>
      <c r="N48" s="4" t="inlineStr">
        <is>
          <t>OK</t>
        </is>
      </c>
    </row>
    <row r="49">
      <c r="A49" s="4" t="inlineStr">
        <is>
          <t>CLM-100322</t>
        </is>
      </c>
      <c r="B49" s="4" t="inlineStr">
        <is>
          <t>4713211</t>
        </is>
      </c>
      <c r="C49" s="4" t="inlineStr">
        <is>
          <t>Quarry Garages Ltd</t>
        </is>
      </c>
      <c r="D49" s="9" t="n">
        <v>45888</v>
      </c>
      <c r="E49" s="9" t="n">
        <v>46252</v>
      </c>
      <c r="F49" s="4" t="n">
        <v>100000</v>
      </c>
      <c r="G49" s="9" t="n">
        <v>46188</v>
      </c>
      <c r="H49" s="9" t="n">
        <v>46212</v>
      </c>
      <c r="I49" s="4" t="inlineStr">
        <is>
          <t>Open</t>
        </is>
      </c>
      <c r="J49" s="4" t="inlineStr">
        <is>
          <t>GBP</t>
        </is>
      </c>
      <c r="K49" s="4" t="n">
        <v>5722.63</v>
      </c>
      <c r="L49" s="4" t="n">
        <v>2701.27</v>
      </c>
      <c r="M49" s="4" t="n">
        <v>8423.9</v>
      </c>
      <c r="N49" s="4" t="inlineStr">
        <is>
          <t>OK</t>
        </is>
      </c>
    </row>
    <row r="50">
      <c r="A50" s="4" t="inlineStr">
        <is>
          <t>CLM-100329</t>
        </is>
      </c>
      <c r="B50" s="4" t="inlineStr">
        <is>
          <t>4774849</t>
        </is>
      </c>
      <c r="C50" s="4" t="inlineStr">
        <is>
          <t>Quarry Hotels Group</t>
        </is>
      </c>
      <c r="D50" s="9" t="n">
        <v>45944</v>
      </c>
      <c r="E50" s="9" t="n">
        <v>46308</v>
      </c>
      <c r="F50" s="4" t="n">
        <v>250000</v>
      </c>
      <c r="G50" s="9" t="n">
        <v>46217</v>
      </c>
      <c r="H50" s="9" t="n">
        <v>46251</v>
      </c>
      <c r="I50" s="4" t="inlineStr">
        <is>
          <t>Open</t>
        </is>
      </c>
      <c r="J50" s="4" t="inlineStr">
        <is>
          <t>GBP</t>
        </is>
      </c>
      <c r="K50" s="4" t="n">
        <v>41093.45</v>
      </c>
      <c r="L50" s="4" t="n">
        <v>47682.28</v>
      </c>
      <c r="M50" s="4" t="n">
        <v>88775.73</v>
      </c>
      <c r="N50" s="4" t="inlineStr">
        <is>
          <t>OK</t>
        </is>
      </c>
    </row>
    <row r="51">
      <c r="A51" s="4" t="inlineStr">
        <is>
          <t>CLM-100336</t>
        </is>
      </c>
      <c r="B51" s="4" t="inlineStr">
        <is>
          <t>4347398</t>
        </is>
      </c>
      <c r="C51" s="4" t="inlineStr">
        <is>
          <t>Ardmore Builders Limited</t>
        </is>
      </c>
      <c r="D51" s="9" t="n">
        <v>45966</v>
      </c>
      <c r="E51" s="9" t="n">
        <v>46330</v>
      </c>
      <c r="F51" s="4" t="n">
        <v>1000000</v>
      </c>
      <c r="G51" s="9" t="n">
        <v>46144</v>
      </c>
      <c r="H51" s="9" t="n">
        <v>46177</v>
      </c>
      <c r="I51" s="4" t="inlineStr">
        <is>
          <t>Closed</t>
        </is>
      </c>
      <c r="J51" s="4" t="inlineStr">
        <is>
          <t>GBP</t>
        </is>
      </c>
      <c r="K51" s="4" t="n">
        <v>55400.11</v>
      </c>
      <c r="L51" s="4" t="n">
        <v>0</v>
      </c>
      <c r="M51" s="4" t="n">
        <v>55400.11</v>
      </c>
      <c r="N51" s="4" t="inlineStr">
        <is>
          <t>OK</t>
        </is>
      </c>
    </row>
    <row r="52">
      <c r="A52" s="4" t="inlineStr">
        <is>
          <t>CLM-100343</t>
        </is>
      </c>
      <c r="B52" s="4" t="inlineStr">
        <is>
          <t>4885815</t>
        </is>
      </c>
      <c r="C52" s="4" t="inlineStr">
        <is>
          <t>Juniper Farms Group</t>
        </is>
      </c>
      <c r="D52" s="9" t="n">
        <v>45742</v>
      </c>
      <c r="E52" s="9" t="n">
        <v>46106</v>
      </c>
      <c r="F52" s="4" t="n">
        <v>500000</v>
      </c>
      <c r="G52" s="9" t="n">
        <v>45946</v>
      </c>
      <c r="H52" s="9" t="n">
        <v>45977</v>
      </c>
      <c r="I52" s="4" t="inlineStr">
        <is>
          <t>Closed</t>
        </is>
      </c>
      <c r="J52" s="4" t="inlineStr">
        <is>
          <t>GBP</t>
        </is>
      </c>
      <c r="K52" s="4" t="n">
        <v>4090.69</v>
      </c>
      <c r="L52" s="4" t="n">
        <v>0</v>
      </c>
      <c r="M52" s="4" t="n">
        <v>4090.69</v>
      </c>
      <c r="N52" s="4" t="inlineStr">
        <is>
          <t>OK</t>
        </is>
      </c>
    </row>
    <row r="53">
      <c r="A53" s="4" t="inlineStr">
        <is>
          <t>CLM-100350</t>
        </is>
      </c>
      <c r="B53" s="4" t="inlineStr">
        <is>
          <t>4046132</t>
        </is>
      </c>
      <c r="C53" s="4" t="inlineStr">
        <is>
          <t>Quarry Pharmacy Ltd</t>
        </is>
      </c>
      <c r="D53" s="9" t="n">
        <v>45658</v>
      </c>
      <c r="E53" s="9" t="n">
        <v>46022</v>
      </c>
      <c r="F53" s="4" t="n">
        <v>250000</v>
      </c>
      <c r="G53" s="9" t="n">
        <v>45858</v>
      </c>
      <c r="H53" s="9" t="n">
        <v>45877</v>
      </c>
      <c r="I53" s="4" t="inlineStr">
        <is>
          <t>Open</t>
        </is>
      </c>
      <c r="J53" s="4" t="inlineStr">
        <is>
          <t>EUR</t>
        </is>
      </c>
      <c r="K53" s="4" t="n">
        <v>32512.94</v>
      </c>
      <c r="L53" s="4" t="n">
        <v>63157.94</v>
      </c>
      <c r="M53" s="4" t="n">
        <v>95670.88</v>
      </c>
      <c r="N53" s="4" t="inlineStr">
        <is>
          <t>OK</t>
        </is>
      </c>
    </row>
    <row r="54">
      <c r="A54" s="4" t="inlineStr">
        <is>
          <t>CLM-100357</t>
        </is>
      </c>
      <c r="B54" s="4" t="inlineStr">
        <is>
          <t>4513237</t>
        </is>
      </c>
      <c r="C54" s="4" t="inlineStr">
        <is>
          <t>Inglewood Freight Group</t>
        </is>
      </c>
      <c r="D54" s="9" t="n">
        <v>45785</v>
      </c>
      <c r="E54" s="9" t="n">
        <v>46149</v>
      </c>
      <c r="F54" s="4" t="n">
        <v>250000</v>
      </c>
      <c r="G54" s="9" t="n">
        <v>45954</v>
      </c>
      <c r="H54" s="9" t="n">
        <v>45958</v>
      </c>
      <c r="I54" s="4" t="inlineStr">
        <is>
          <t>Closed</t>
        </is>
      </c>
      <c r="J54" s="4" t="inlineStr">
        <is>
          <t>GBP</t>
        </is>
      </c>
      <c r="K54" s="4" t="n">
        <v>17192.35</v>
      </c>
      <c r="L54" s="4" t="n">
        <v>0</v>
      </c>
      <c r="M54" s="4" t="n">
        <v>17192.35</v>
      </c>
      <c r="N54" s="4" t="inlineStr">
        <is>
          <t>OK</t>
        </is>
      </c>
    </row>
    <row r="55">
      <c r="A55" s="4" t="inlineStr">
        <is>
          <t>CLM-100364</t>
        </is>
      </c>
      <c r="B55" s="4" t="inlineStr">
        <is>
          <t>4404185</t>
        </is>
      </c>
      <c r="C55" s="4" t="inlineStr">
        <is>
          <t>Ellery Hotels plc</t>
        </is>
      </c>
      <c r="D55" s="9" t="n">
        <v>45974</v>
      </c>
      <c r="E55" s="9" t="n">
        <v>46338</v>
      </c>
      <c r="F55" s="4" t="n">
        <v>1000000</v>
      </c>
      <c r="G55" s="9" t="n">
        <v>46121</v>
      </c>
      <c r="H55" s="9" t="n">
        <v>46153</v>
      </c>
      <c r="I55" s="4" t="inlineStr">
        <is>
          <t>Open</t>
        </is>
      </c>
      <c r="J55" s="4" t="inlineStr">
        <is>
          <t>EUR</t>
        </is>
      </c>
      <c r="K55" s="4" t="n">
        <v>18280.23</v>
      </c>
      <c r="L55" s="4" t="n">
        <v>46678.65</v>
      </c>
      <c r="M55" s="4" t="n">
        <v>64958.88</v>
      </c>
      <c r="N55" s="4" t="inlineStr">
        <is>
          <t>OK</t>
        </is>
      </c>
    </row>
    <row r="56">
      <c r="A56" s="4" t="inlineStr">
        <is>
          <t>CLM-100371</t>
        </is>
      </c>
      <c r="B56" s="4" t="inlineStr">
        <is>
          <t>4137232</t>
        </is>
      </c>
      <c r="C56" s="4" t="inlineStr">
        <is>
          <t>Merrow Engineering LLP</t>
        </is>
      </c>
      <c r="D56" s="9" t="n">
        <v>46018</v>
      </c>
      <c r="E56" s="9" t="n">
        <v>46382</v>
      </c>
      <c r="F56" s="4" t="n">
        <v>100000</v>
      </c>
      <c r="G56" s="9" t="n">
        <v>46138</v>
      </c>
      <c r="H56" s="9" t="n">
        <v>46144</v>
      </c>
      <c r="I56" s="4" t="inlineStr">
        <is>
          <t>Open</t>
        </is>
      </c>
      <c r="J56" s="4" t="inlineStr">
        <is>
          <t>EUR</t>
        </is>
      </c>
      <c r="K56" s="4" t="n">
        <v>35764.85</v>
      </c>
      <c r="L56" s="4" t="n">
        <v>27872.12</v>
      </c>
      <c r="M56" s="4" t="n">
        <v>63636.97</v>
      </c>
      <c r="N56" s="4" t="inlineStr">
        <is>
          <t>OK</t>
        </is>
      </c>
    </row>
    <row r="57">
      <c r="A57" s="4" t="inlineStr">
        <is>
          <t>CLM-100378</t>
        </is>
      </c>
      <c r="B57" s="4" t="inlineStr">
        <is>
          <t>4052167</t>
        </is>
      </c>
      <c r="C57" s="4" t="inlineStr">
        <is>
          <t>Inglewood Print &amp; Sons</t>
        </is>
      </c>
      <c r="D57" s="9" t="n">
        <v>45951</v>
      </c>
      <c r="E57" s="9" t="n">
        <v>46315</v>
      </c>
      <c r="F57" s="4" t="n">
        <v>100000</v>
      </c>
      <c r="G57" s="9" t="n">
        <v>46078</v>
      </c>
      <c r="H57" s="9" t="n">
        <v>46097</v>
      </c>
      <c r="I57" s="4" t="inlineStr">
        <is>
          <t>Open</t>
        </is>
      </c>
      <c r="J57" s="4" t="inlineStr">
        <is>
          <t>USD</t>
        </is>
      </c>
      <c r="K57" s="4" t="n">
        <v>9135.48</v>
      </c>
      <c r="L57" s="4" t="n">
        <v>9973.200000000001</v>
      </c>
      <c r="M57" s="4" t="n">
        <v>19108.68</v>
      </c>
      <c r="N57" s="4" t="inlineStr">
        <is>
          <t>OK</t>
        </is>
      </c>
    </row>
    <row r="58">
      <c r="A58" s="4" t="inlineStr">
        <is>
          <t>CLM-100385</t>
        </is>
      </c>
      <c r="B58" s="4" t="inlineStr">
        <is>
          <t>4226033</t>
        </is>
      </c>
      <c r="C58" s="4" t="inlineStr">
        <is>
          <t>Fenwick Hotels &amp; Sons</t>
        </is>
      </c>
      <c r="D58" s="9" t="n">
        <v>46009</v>
      </c>
      <c r="E58" s="9" t="n">
        <v>46373</v>
      </c>
      <c r="F58" s="4" t="n">
        <v>1000000</v>
      </c>
      <c r="G58" s="9" t="n">
        <v>46043</v>
      </c>
      <c r="H58" s="9" t="n">
        <v>46070</v>
      </c>
      <c r="I58" s="4" t="inlineStr">
        <is>
          <t>Open</t>
        </is>
      </c>
      <c r="J58" s="4" t="inlineStr">
        <is>
          <t>GBP</t>
        </is>
      </c>
      <c r="K58" s="4" t="n">
        <v>31848.01</v>
      </c>
      <c r="L58" s="4" t="n">
        <v>60775.76</v>
      </c>
      <c r="M58" s="4" t="n">
        <v>92623.77</v>
      </c>
      <c r="N58" s="4" t="inlineStr">
        <is>
          <t>OK</t>
        </is>
      </c>
    </row>
    <row r="59">
      <c r="A59" s="4" t="inlineStr">
        <is>
          <t>CLM-100392</t>
        </is>
      </c>
      <c r="B59" s="4" t="inlineStr">
        <is>
          <t>4823143</t>
        </is>
      </c>
      <c r="C59" s="4" t="inlineStr">
        <is>
          <t>Ellery Dental Ltd</t>
        </is>
      </c>
      <c r="D59" s="9" t="n">
        <v>45731</v>
      </c>
      <c r="E59" s="9" t="n">
        <v>46095</v>
      </c>
      <c r="F59" s="4" t="n">
        <v>250000</v>
      </c>
      <c r="G59" s="9" t="n">
        <v>46011</v>
      </c>
      <c r="H59" s="9" t="n">
        <v>46020</v>
      </c>
      <c r="I59" s="4" t="inlineStr">
        <is>
          <t>Open</t>
        </is>
      </c>
      <c r="J59" s="4" t="inlineStr">
        <is>
          <t>GBP</t>
        </is>
      </c>
      <c r="K59" s="4" t="n">
        <v>28871.77</v>
      </c>
      <c r="L59" s="4" t="n">
        <v>5267.08</v>
      </c>
      <c r="M59" s="4" t="n">
        <v>34138.85</v>
      </c>
      <c r="N59" s="4" t="inlineStr">
        <is>
          <t>OK</t>
        </is>
      </c>
    </row>
    <row r="60">
      <c r="A60" s="4" t="inlineStr">
        <is>
          <t>CLM-100399</t>
        </is>
      </c>
      <c r="B60" s="4" t="inlineStr">
        <is>
          <t>4885441</t>
        </is>
      </c>
      <c r="C60" s="4" t="inlineStr">
        <is>
          <t>Ardmore Joinery Limited</t>
        </is>
      </c>
      <c r="D60" s="9" t="n">
        <v>45763</v>
      </c>
      <c r="E60" s="9" t="n">
        <v>46127</v>
      </c>
      <c r="F60" s="4" t="n">
        <v>500000</v>
      </c>
      <c r="G60" s="9" t="n">
        <v>45978</v>
      </c>
      <c r="H60" s="9" t="n">
        <v>46013</v>
      </c>
      <c r="I60" s="4" t="inlineStr">
        <is>
          <t>Open</t>
        </is>
      </c>
      <c r="J60" s="4" t="inlineStr">
        <is>
          <t>USD</t>
        </is>
      </c>
      <c r="K60" s="4" t="n">
        <v>48172.16</v>
      </c>
      <c r="L60" s="4" t="n">
        <v>70309.16</v>
      </c>
      <c r="M60" s="4" t="n">
        <v>118481.32</v>
      </c>
      <c r="N60" s="4" t="inlineStr">
        <is>
          <t>OK</t>
        </is>
      </c>
    </row>
    <row r="61">
      <c r="A61" s="4" t="inlineStr">
        <is>
          <t>CLM-100406</t>
        </is>
      </c>
      <c r="B61" s="4" t="inlineStr">
        <is>
          <t>4718056</t>
        </is>
      </c>
      <c r="C61" s="4" t="inlineStr">
        <is>
          <t>Ballina Florists LLP</t>
        </is>
      </c>
      <c r="D61" s="9" t="n">
        <v>45928</v>
      </c>
      <c r="E61" s="9" t="n">
        <v>46292</v>
      </c>
      <c r="F61" s="4" t="n">
        <v>250000</v>
      </c>
      <c r="G61" s="9" t="n">
        <v>46005</v>
      </c>
      <c r="H61" s="9" t="n">
        <v>46029</v>
      </c>
      <c r="I61" s="4" t="inlineStr">
        <is>
          <t>Open</t>
        </is>
      </c>
      <c r="J61" s="4" t="inlineStr">
        <is>
          <t>EUR</t>
        </is>
      </c>
      <c r="K61" s="4" t="n">
        <v>32645.76</v>
      </c>
      <c r="L61" s="4" t="n">
        <v>5313.9</v>
      </c>
      <c r="M61" s="4" t="n">
        <v>37959.66</v>
      </c>
      <c r="N61" s="4" t="inlineStr">
        <is>
          <t>OK</t>
        </is>
      </c>
    </row>
    <row r="62">
      <c r="A62" s="4" t="inlineStr">
        <is>
          <t>CLM-100413</t>
        </is>
      </c>
      <c r="B62" s="4" t="inlineStr">
        <is>
          <t>4342162</t>
        </is>
      </c>
      <c r="C62" s="4" t="inlineStr">
        <is>
          <t>Ballina Hotels Group</t>
        </is>
      </c>
      <c r="D62" s="9" t="n">
        <v>45741</v>
      </c>
      <c r="E62" s="9" t="n">
        <v>46105</v>
      </c>
      <c r="F62" s="4" t="n">
        <v>250000</v>
      </c>
      <c r="G62" s="9" t="n">
        <v>45949</v>
      </c>
      <c r="H62" s="9" t="n">
        <v>45976</v>
      </c>
      <c r="I62" s="4" t="inlineStr">
        <is>
          <t>Reopened</t>
        </is>
      </c>
      <c r="J62" s="4" t="inlineStr">
        <is>
          <t>GBP</t>
        </is>
      </c>
      <c r="K62" s="4" t="n">
        <v>22447.62</v>
      </c>
      <c r="L62" s="4" t="n">
        <v>53553.01</v>
      </c>
      <c r="M62" s="4" t="n">
        <v>76000.63</v>
      </c>
      <c r="N62" s="4" t="inlineStr">
        <is>
          <t>OK</t>
        </is>
      </c>
    </row>
    <row r="63">
      <c r="A63" s="4" t="inlineStr">
        <is>
          <t>CLM-100420</t>
        </is>
      </c>
      <c r="B63" s="4" t="inlineStr">
        <is>
          <t>4471623</t>
        </is>
      </c>
      <c r="C63" s="4" t="inlineStr">
        <is>
          <t>Kestrel Joinery Limited</t>
        </is>
      </c>
      <c r="D63" s="9" t="n">
        <v>45667</v>
      </c>
      <c r="E63" s="9" t="n">
        <v>46031</v>
      </c>
      <c r="F63" s="4" t="n">
        <v>1000000</v>
      </c>
      <c r="G63" s="9" t="n">
        <v>45730</v>
      </c>
      <c r="H63" s="9" t="n">
        <v>45756</v>
      </c>
      <c r="I63" s="4" t="inlineStr">
        <is>
          <t>Closed</t>
        </is>
      </c>
      <c r="J63" s="4" t="inlineStr">
        <is>
          <t>GBP</t>
        </is>
      </c>
      <c r="K63" s="4" t="n">
        <v>13710.91</v>
      </c>
      <c r="L63" s="4" t="n">
        <v>0</v>
      </c>
      <c r="M63" s="4" t="n">
        <v>13710.91</v>
      </c>
      <c r="N63" s="4" t="inlineStr">
        <is>
          <t>OK</t>
        </is>
      </c>
    </row>
    <row r="64">
      <c r="A64" s="4" t="inlineStr">
        <is>
          <t>CLM-100427</t>
        </is>
      </c>
      <c r="B64" s="4" t="inlineStr">
        <is>
          <t>4871120</t>
        </is>
      </c>
      <c r="C64" s="4" t="inlineStr">
        <is>
          <t>Merrow Print Holdings</t>
        </is>
      </c>
      <c r="D64" s="9" t="n">
        <v>45910</v>
      </c>
      <c r="E64" s="9" t="n">
        <v>46274</v>
      </c>
      <c r="F64" s="4" t="n">
        <v>100000</v>
      </c>
      <c r="G64" s="9" t="n">
        <v>45985</v>
      </c>
      <c r="H64" s="9" t="n">
        <v>46023</v>
      </c>
      <c r="I64" s="4" t="inlineStr">
        <is>
          <t>Open</t>
        </is>
      </c>
      <c r="J64" s="4" t="inlineStr">
        <is>
          <t>GBP</t>
        </is>
      </c>
      <c r="K64" s="4" t="n">
        <v>32027.8</v>
      </c>
      <c r="L64" s="4" t="n">
        <v>36098.75</v>
      </c>
      <c r="M64" s="4" t="n">
        <v>68126.55</v>
      </c>
      <c r="N64" s="4" t="inlineStr">
        <is>
          <t>OK</t>
        </is>
      </c>
    </row>
    <row r="65">
      <c r="A65" s="4" t="inlineStr">
        <is>
          <t>CLM-100434</t>
        </is>
      </c>
      <c r="B65" s="4" t="inlineStr">
        <is>
          <t>4632530</t>
        </is>
      </c>
      <c r="C65" s="4" t="inlineStr">
        <is>
          <t>Juniper Marine plc</t>
        </is>
      </c>
      <c r="D65" s="9" t="n">
        <v>45965</v>
      </c>
      <c r="E65" s="9" t="n">
        <v>46329</v>
      </c>
      <c r="F65" s="4" t="n">
        <v>250000</v>
      </c>
      <c r="G65" s="9" t="n">
        <v>46012</v>
      </c>
      <c r="H65" s="9" t="n">
        <v>46046</v>
      </c>
      <c r="I65" s="4" t="inlineStr">
        <is>
          <t>Open</t>
        </is>
      </c>
      <c r="J65" s="4" t="inlineStr">
        <is>
          <t>GBP</t>
        </is>
      </c>
      <c r="K65" s="4" t="n">
        <v>18928.92</v>
      </c>
      <c r="L65" s="4" t="n">
        <v>1469.96</v>
      </c>
      <c r="M65" s="4" t="n">
        <v>20398.88</v>
      </c>
      <c r="N65" s="4" t="inlineStr">
        <is>
          <t>OK</t>
        </is>
      </c>
    </row>
    <row r="66">
      <c r="A66" s="4" t="inlineStr">
        <is>
          <t>CLM-100441</t>
        </is>
      </c>
      <c r="B66" s="4" t="inlineStr">
        <is>
          <t>4262160</t>
        </is>
      </c>
      <c r="C66" s="4" t="inlineStr">
        <is>
          <t>Larkspur Pharmacy &amp; Sons</t>
        </is>
      </c>
      <c r="D66" s="9" t="n">
        <v>45817</v>
      </c>
      <c r="E66" s="9" t="n">
        <v>46181</v>
      </c>
      <c r="F66" s="4" t="n">
        <v>500000</v>
      </c>
      <c r="G66" s="9" t="n">
        <v>45827</v>
      </c>
      <c r="H66" s="9" t="n">
        <v>45832</v>
      </c>
      <c r="I66" s="4" t="inlineStr">
        <is>
          <t>Open</t>
        </is>
      </c>
      <c r="J66" s="4" t="inlineStr">
        <is>
          <t>EUR</t>
        </is>
      </c>
      <c r="K66" s="4" t="n">
        <v>55170.54</v>
      </c>
      <c r="L66" s="4" t="n">
        <v>63749.83</v>
      </c>
      <c r="M66" s="4" t="n">
        <v>118920.37</v>
      </c>
      <c r="N66" s="4" t="inlineStr">
        <is>
          <t>OK</t>
        </is>
      </c>
    </row>
    <row r="67">
      <c r="A67" s="4" t="inlineStr">
        <is>
          <t>CLM-100448</t>
        </is>
      </c>
      <c r="B67" s="4" t="inlineStr">
        <is>
          <t>4479904</t>
        </is>
      </c>
      <c r="C67" s="4" t="inlineStr">
        <is>
          <t>Upton Florists plc</t>
        </is>
      </c>
      <c r="D67" s="9" t="n">
        <v>45811</v>
      </c>
      <c r="E67" s="9" t="n">
        <v>46175</v>
      </c>
      <c r="F67" s="4" t="n">
        <v>500000</v>
      </c>
      <c r="G67" s="9" t="n">
        <v>46039</v>
      </c>
      <c r="H67" s="10" t="n">
        <v>46023</v>
      </c>
      <c r="I67" s="4" t="inlineStr">
        <is>
          <t>Open</t>
        </is>
      </c>
      <c r="J67" s="4" t="inlineStr">
        <is>
          <t>GBP</t>
        </is>
      </c>
      <c r="K67" s="4" t="n">
        <v>12398.18</v>
      </c>
      <c r="L67" s="4" t="n">
        <v>37199.89</v>
      </c>
      <c r="M67" s="4" t="n">
        <v>49598.07</v>
      </c>
      <c r="N67" s="6" t="inlineStr">
        <is>
          <t>Error: Notified before the loss date: date of loss 2026-01-17 is after date first notified 2026-01-01.</t>
        </is>
      </c>
    </row>
    <row r="68">
      <c r="A68" s="4" t="inlineStr">
        <is>
          <t>CLM-100455</t>
        </is>
      </c>
      <c r="B68" s="4" t="inlineStr">
        <is>
          <t>4600289</t>
        </is>
      </c>
      <c r="C68" s="4" t="inlineStr">
        <is>
          <t>Juniper Print LLP</t>
        </is>
      </c>
      <c r="D68" s="9" t="n">
        <v>45891</v>
      </c>
      <c r="E68" s="9" t="n">
        <v>46255</v>
      </c>
      <c r="F68" s="4" t="n">
        <v>100000</v>
      </c>
      <c r="G68" s="9" t="n">
        <v>46119</v>
      </c>
      <c r="H68" s="9" t="n">
        <v>46132</v>
      </c>
      <c r="I68" s="4" t="inlineStr">
        <is>
          <t>Open</t>
        </is>
      </c>
      <c r="J68" s="4" t="inlineStr">
        <is>
          <t>EUR</t>
        </is>
      </c>
      <c r="K68" s="4" t="n">
        <v>20726.4</v>
      </c>
      <c r="L68" s="4" t="n">
        <v>28055.87</v>
      </c>
      <c r="M68" s="4" t="n">
        <v>48782.27</v>
      </c>
      <c r="N68" s="4" t="inlineStr">
        <is>
          <t>OK</t>
        </is>
      </c>
    </row>
    <row r="69">
      <c r="A69" s="4" t="inlineStr">
        <is>
          <t>CLM-100462</t>
        </is>
      </c>
      <c r="B69" s="4" t="inlineStr">
        <is>
          <t>4646528</t>
        </is>
      </c>
      <c r="C69" s="4" t="inlineStr">
        <is>
          <t>Vale Textiles Limited</t>
        </is>
      </c>
      <c r="D69" s="9" t="n">
        <v>45829</v>
      </c>
      <c r="E69" s="9" t="n">
        <v>46193</v>
      </c>
      <c r="F69" s="4" t="n">
        <v>1000000</v>
      </c>
      <c r="G69" s="9" t="n">
        <v>45982</v>
      </c>
      <c r="H69" s="9" t="n">
        <v>46006</v>
      </c>
      <c r="I69" s="4" t="inlineStr">
        <is>
          <t>Open</t>
        </is>
      </c>
      <c r="J69" s="4" t="inlineStr">
        <is>
          <t>GBP</t>
        </is>
      </c>
      <c r="K69" s="4" t="n">
        <v>10541.22</v>
      </c>
      <c r="L69" s="4" t="n">
        <v>66635.2</v>
      </c>
      <c r="M69" s="4" t="n">
        <v>77176.42</v>
      </c>
      <c r="N69" s="4" t="inlineStr">
        <is>
          <t>OK</t>
        </is>
      </c>
    </row>
    <row r="70">
      <c r="A70" s="4" t="inlineStr">
        <is>
          <t>CLM-100469</t>
        </is>
      </c>
      <c r="B70" s="4" t="inlineStr">
        <is>
          <t>4194396</t>
        </is>
      </c>
      <c r="C70" s="4" t="inlineStr">
        <is>
          <t>Dunmore Hotels &amp; Sons</t>
        </is>
      </c>
      <c r="D70" s="9" t="n">
        <v>45798</v>
      </c>
      <c r="E70" s="9" t="n">
        <v>46162</v>
      </c>
      <c r="F70" s="4" t="n">
        <v>100000</v>
      </c>
      <c r="G70" s="9" t="n">
        <v>46119</v>
      </c>
      <c r="H70" s="9" t="n">
        <v>46134</v>
      </c>
      <c r="I70" s="4" t="inlineStr">
        <is>
          <t>Open</t>
        </is>
      </c>
      <c r="J70" s="4" t="inlineStr">
        <is>
          <t>EUR</t>
        </is>
      </c>
      <c r="K70" s="4" t="n">
        <v>16030.45</v>
      </c>
      <c r="L70" s="4" t="n">
        <v>42557.09</v>
      </c>
      <c r="M70" s="4" t="n">
        <v>58587.54</v>
      </c>
      <c r="N70" s="4" t="inlineStr">
        <is>
          <t>OK</t>
        </is>
      </c>
    </row>
    <row r="71">
      <c r="A71" s="4" t="inlineStr">
        <is>
          <t>CLM-100476</t>
        </is>
      </c>
      <c r="B71" s="4" t="inlineStr">
        <is>
          <t>4034819</t>
        </is>
      </c>
      <c r="C71" s="4" t="inlineStr">
        <is>
          <t>Harbour Garages &amp; Sons</t>
        </is>
      </c>
      <c r="D71" s="9" t="n">
        <v>45931</v>
      </c>
      <c r="E71" s="9" t="n">
        <v>46295</v>
      </c>
      <c r="F71" s="4" t="n">
        <v>1000000</v>
      </c>
      <c r="G71" s="9" t="n">
        <v>46168</v>
      </c>
      <c r="H71" s="9" t="n">
        <v>46186</v>
      </c>
      <c r="I71" s="4" t="inlineStr">
        <is>
          <t>Open</t>
        </is>
      </c>
      <c r="J71" s="4" t="inlineStr">
        <is>
          <t>USD</t>
        </is>
      </c>
      <c r="K71" s="4" t="n">
        <v>35741.36</v>
      </c>
      <c r="L71" s="4" t="n">
        <v>68057.13</v>
      </c>
      <c r="M71" s="4" t="n">
        <v>103798.49</v>
      </c>
      <c r="N71" s="4" t="inlineStr">
        <is>
          <t>OK</t>
        </is>
      </c>
    </row>
    <row r="72">
      <c r="A72" s="4" t="inlineStr">
        <is>
          <t>CLM-100483</t>
        </is>
      </c>
      <c r="B72" s="4" t="inlineStr">
        <is>
          <t>4771413</t>
        </is>
      </c>
      <c r="C72" s="4" t="inlineStr">
        <is>
          <t>Dunmore Joinery LLP</t>
        </is>
      </c>
      <c r="D72" s="9" t="n">
        <v>45672</v>
      </c>
      <c r="E72" s="9" t="n">
        <v>46036</v>
      </c>
      <c r="F72" s="4" t="n">
        <v>100000</v>
      </c>
      <c r="G72" s="9" t="n">
        <v>45927</v>
      </c>
      <c r="H72" s="9" t="n">
        <v>45933</v>
      </c>
      <c r="I72" s="4" t="inlineStr">
        <is>
          <t>Open</t>
        </is>
      </c>
      <c r="J72" s="4" t="inlineStr">
        <is>
          <t>GBP</t>
        </is>
      </c>
      <c r="K72" s="4" t="n">
        <v>34246.94</v>
      </c>
      <c r="L72" s="4" t="n">
        <v>29138.6</v>
      </c>
      <c r="M72" s="4" t="n">
        <v>63385.54</v>
      </c>
      <c r="N72" s="4" t="inlineStr">
        <is>
          <t>OK</t>
        </is>
      </c>
    </row>
    <row r="73">
      <c r="A73" s="4" t="inlineStr">
        <is>
          <t>CLM-100490</t>
        </is>
      </c>
      <c r="B73" s="4" t="inlineStr">
        <is>
          <t>4894250</t>
        </is>
      </c>
      <c r="C73" s="4" t="inlineStr">
        <is>
          <t>Dunmore Engineering Ltd</t>
        </is>
      </c>
      <c r="D73" s="9" t="n">
        <v>46017</v>
      </c>
      <c r="E73" s="9" t="n">
        <v>46381</v>
      </c>
      <c r="F73" s="4" t="n">
        <v>500000</v>
      </c>
      <c r="G73" s="9" t="n">
        <v>46105</v>
      </c>
      <c r="H73" s="9" t="n">
        <v>46134</v>
      </c>
      <c r="I73" s="4" t="inlineStr">
        <is>
          <t>Closed</t>
        </is>
      </c>
      <c r="J73" s="4" t="inlineStr">
        <is>
          <t>GBP</t>
        </is>
      </c>
      <c r="K73" s="4" t="n">
        <v>35895.92</v>
      </c>
      <c r="L73" s="4" t="n">
        <v>0</v>
      </c>
      <c r="M73" s="4" t="n">
        <v>35895.92</v>
      </c>
      <c r="N73" s="4" t="inlineStr">
        <is>
          <t>OK</t>
        </is>
      </c>
    </row>
    <row r="74">
      <c r="A74" s="4" t="inlineStr">
        <is>
          <t>CLM-100497</t>
        </is>
      </c>
      <c r="B74" s="4" t="inlineStr">
        <is>
          <t>4722965</t>
        </is>
      </c>
      <c r="C74" s="4" t="inlineStr">
        <is>
          <t>Pembroke Motors LLP</t>
        </is>
      </c>
      <c r="D74" s="9" t="n">
        <v>45861</v>
      </c>
      <c r="E74" s="9" t="n">
        <v>46225</v>
      </c>
      <c r="F74" s="4" t="n">
        <v>1000000</v>
      </c>
      <c r="G74" s="9" t="n">
        <v>46148</v>
      </c>
      <c r="H74" s="9" t="n">
        <v>46165</v>
      </c>
      <c r="I74" s="4" t="inlineStr">
        <is>
          <t>Open</t>
        </is>
      </c>
      <c r="J74" s="5" t="inlineStr">
        <is>
          <t>eur</t>
        </is>
      </c>
      <c r="K74" s="4" t="n">
        <v>54207.96</v>
      </c>
      <c r="L74" s="4" t="n">
        <v>52370.31</v>
      </c>
      <c r="M74" s="4" t="n">
        <v>106578.27</v>
      </c>
      <c r="N74" s="5" t="inlineStr">
        <is>
          <t>Warning: Currency written non-standardly: 'eur' read as EUR.</t>
        </is>
      </c>
    </row>
    <row r="75">
      <c r="A75" s="4" t="inlineStr">
        <is>
          <t>CLM-100504</t>
        </is>
      </c>
      <c r="B75" s="4" t="inlineStr">
        <is>
          <t>4232551</t>
        </is>
      </c>
      <c r="C75" s="4" t="inlineStr">
        <is>
          <t>Inglewood Logistics Group</t>
        </is>
      </c>
      <c r="D75" s="9" t="n">
        <v>45979</v>
      </c>
      <c r="E75" s="9" t="n">
        <v>46343</v>
      </c>
      <c r="F75" s="4" t="n">
        <v>500000</v>
      </c>
      <c r="G75" s="9" t="n">
        <v>46049</v>
      </c>
      <c r="H75" s="9" t="n">
        <v>46086</v>
      </c>
      <c r="I75" s="4" t="inlineStr">
        <is>
          <t>Closed</t>
        </is>
      </c>
      <c r="J75" s="4" t="inlineStr">
        <is>
          <t>USD</t>
        </is>
      </c>
      <c r="K75" s="4" t="n">
        <v>48071.15</v>
      </c>
      <c r="L75" s="4" t="n">
        <v>0</v>
      </c>
      <c r="M75" s="4" t="n">
        <v>48071.15</v>
      </c>
      <c r="N75" s="4" t="inlineStr">
        <is>
          <t>OK</t>
        </is>
      </c>
    </row>
    <row r="76">
      <c r="A76" s="4" t="inlineStr">
        <is>
          <t>CLM-100511</t>
        </is>
      </c>
      <c r="B76" s="4" t="inlineStr">
        <is>
          <t>4547537</t>
        </is>
      </c>
      <c r="C76" s="4" t="inlineStr">
        <is>
          <t>Dunmore Bakery Limited</t>
        </is>
      </c>
      <c r="D76" s="9" t="n">
        <v>45689</v>
      </c>
      <c r="E76" s="9" t="n">
        <v>46053</v>
      </c>
      <c r="F76" s="4" t="n">
        <v>1000000</v>
      </c>
      <c r="G76" s="9" t="n">
        <v>45712</v>
      </c>
      <c r="H76" s="9" t="n">
        <v>45722</v>
      </c>
      <c r="I76" s="4" t="inlineStr">
        <is>
          <t>Open</t>
        </is>
      </c>
      <c r="J76" s="4" t="inlineStr">
        <is>
          <t>GBP</t>
        </is>
      </c>
      <c r="K76" s="4" t="n">
        <v>11426.4</v>
      </c>
      <c r="L76" s="4" t="n">
        <v>48895.05</v>
      </c>
      <c r="M76" s="4" t="n">
        <v>60321.45</v>
      </c>
      <c r="N76" s="4" t="inlineStr">
        <is>
          <t>OK</t>
        </is>
      </c>
    </row>
    <row r="77">
      <c r="A77" s="4" t="inlineStr">
        <is>
          <t>CLM-100518</t>
        </is>
      </c>
      <c r="B77" s="4" t="inlineStr">
        <is>
          <t>4065561</t>
        </is>
      </c>
      <c r="C77" s="4" t="inlineStr">
        <is>
          <t>Ballina Marine Ltd</t>
        </is>
      </c>
      <c r="D77" s="9" t="n">
        <v>45894</v>
      </c>
      <c r="E77" s="9" t="n">
        <v>46258</v>
      </c>
      <c r="F77" s="4" t="n">
        <v>500000</v>
      </c>
      <c r="G77" s="9" t="n">
        <v>45914</v>
      </c>
      <c r="H77" s="9" t="n">
        <v>45947</v>
      </c>
      <c r="I77" s="4" t="inlineStr">
        <is>
          <t>Open</t>
        </is>
      </c>
      <c r="J77" s="4" t="inlineStr">
        <is>
          <t>GBP</t>
        </is>
      </c>
      <c r="K77" s="4" t="n">
        <v>44219.7</v>
      </c>
      <c r="L77" s="4" t="n">
        <v>77470.74000000001</v>
      </c>
      <c r="M77" s="4" t="n">
        <v>121690.44</v>
      </c>
      <c r="N77" s="4" t="inlineStr">
        <is>
          <t>OK</t>
        </is>
      </c>
    </row>
    <row r="78">
      <c r="A78" s="4" t="inlineStr">
        <is>
          <t>CLM-100525</t>
        </is>
      </c>
      <c r="B78" s="4" t="inlineStr">
        <is>
          <t>4337019</t>
        </is>
      </c>
      <c r="C78" s="4" t="inlineStr">
        <is>
          <t>Ardmore Engineering &amp; Sons</t>
        </is>
      </c>
      <c r="D78" s="9" t="n">
        <v>45752</v>
      </c>
      <c r="E78" s="9" t="n">
        <v>46116</v>
      </c>
      <c r="F78" s="4" t="n">
        <v>250000</v>
      </c>
      <c r="G78" s="9" t="n">
        <v>45898</v>
      </c>
      <c r="H78" s="9" t="n">
        <v>45907</v>
      </c>
      <c r="I78" s="4" t="inlineStr">
        <is>
          <t>Closed</t>
        </is>
      </c>
      <c r="J78" s="4" t="inlineStr">
        <is>
          <t>GBP</t>
        </is>
      </c>
      <c r="K78" s="4" t="n">
        <v>448.24</v>
      </c>
      <c r="L78" s="4" t="n">
        <v>0</v>
      </c>
      <c r="M78" s="4" t="n">
        <v>448.24</v>
      </c>
      <c r="N78" s="4" t="inlineStr">
        <is>
          <t>OK</t>
        </is>
      </c>
    </row>
    <row r="79">
      <c r="A79" s="4" t="inlineStr">
        <is>
          <t>CLM-100532</t>
        </is>
      </c>
      <c r="B79" s="4" t="inlineStr">
        <is>
          <t>4040933</t>
        </is>
      </c>
      <c r="C79" s="4" t="inlineStr">
        <is>
          <t>Brennan Marine plc</t>
        </is>
      </c>
      <c r="D79" s="9" t="n">
        <v>45935</v>
      </c>
      <c r="E79" s="9" t="n">
        <v>46299</v>
      </c>
      <c r="F79" s="4" t="n">
        <v>500000</v>
      </c>
      <c r="G79" s="9" t="n">
        <v>46093</v>
      </c>
      <c r="H79" s="9" t="n">
        <v>46129</v>
      </c>
      <c r="I79" s="4" t="inlineStr">
        <is>
          <t>Open</t>
        </is>
      </c>
      <c r="J79" s="4" t="inlineStr">
        <is>
          <t>EUR</t>
        </is>
      </c>
      <c r="K79" s="4" t="n">
        <v>17512.96</v>
      </c>
      <c r="L79" s="4" t="n">
        <v>6455.16</v>
      </c>
      <c r="M79" s="4" t="n">
        <v>23968.12</v>
      </c>
      <c r="N79" s="4" t="inlineStr">
        <is>
          <t>OK</t>
        </is>
      </c>
    </row>
    <row r="80">
      <c r="A80" s="4" t="inlineStr">
        <is>
          <t>CLM-100539</t>
        </is>
      </c>
      <c r="B80" s="4" t="inlineStr">
        <is>
          <t>4547061</t>
        </is>
      </c>
      <c r="C80" s="4" t="inlineStr">
        <is>
          <t>Larkspur Motors &amp; Sons</t>
        </is>
      </c>
      <c r="D80" s="9" t="n">
        <v>45897</v>
      </c>
      <c r="E80" s="9" t="n">
        <v>46261</v>
      </c>
      <c r="F80" s="4" t="n">
        <v>1000000</v>
      </c>
      <c r="G80" s="9" t="n">
        <v>46018</v>
      </c>
      <c r="H80" s="9" t="n">
        <v>46026</v>
      </c>
      <c r="I80" s="4" t="inlineStr">
        <is>
          <t>Open</t>
        </is>
      </c>
      <c r="J80" s="4" t="inlineStr">
        <is>
          <t>EUR</t>
        </is>
      </c>
      <c r="K80" s="4" t="n">
        <v>15646.2</v>
      </c>
      <c r="L80" s="4" t="n">
        <v>51933</v>
      </c>
      <c r="M80" s="4" t="n">
        <v>67579.2</v>
      </c>
      <c r="N80" s="4" t="inlineStr">
        <is>
          <t>OK</t>
        </is>
      </c>
    </row>
    <row r="81">
      <c r="A81" s="4" t="inlineStr">
        <is>
          <t>CLM-100546</t>
        </is>
      </c>
      <c r="B81" s="4" t="inlineStr">
        <is>
          <t>4139053</t>
        </is>
      </c>
      <c r="C81" s="4" t="inlineStr">
        <is>
          <t>Harbour Electrical &amp; Sons</t>
        </is>
      </c>
      <c r="D81" s="9" t="n">
        <v>45752</v>
      </c>
      <c r="E81" s="9" t="n">
        <v>46116</v>
      </c>
      <c r="F81" s="4" t="n">
        <v>100000</v>
      </c>
      <c r="G81" s="9" t="n">
        <v>46008</v>
      </c>
      <c r="H81" s="9" t="n">
        <v>46024</v>
      </c>
      <c r="I81" s="4" t="inlineStr">
        <is>
          <t>Closed</t>
        </is>
      </c>
      <c r="J81" s="4" t="inlineStr">
        <is>
          <t>USD</t>
        </is>
      </c>
      <c r="K81" s="4" t="n">
        <v>24224.38</v>
      </c>
      <c r="L81" s="4" t="n">
        <v>0</v>
      </c>
      <c r="M81" s="4" t="n">
        <v>24224.38</v>
      </c>
      <c r="N81" s="4" t="inlineStr">
        <is>
          <t>OK</t>
        </is>
      </c>
    </row>
    <row r="82">
      <c r="A82" s="4" t="inlineStr">
        <is>
          <t>CLM-100553</t>
        </is>
      </c>
      <c r="B82" s="4" t="inlineStr">
        <is>
          <t>4760484</t>
        </is>
      </c>
      <c r="C82" s="4" t="inlineStr">
        <is>
          <t>Merrow Marine LLP</t>
        </is>
      </c>
      <c r="D82" s="9" t="n">
        <v>45826</v>
      </c>
      <c r="E82" s="9" t="n">
        <v>46190</v>
      </c>
      <c r="F82" s="4" t="n">
        <v>250000</v>
      </c>
      <c r="G82" s="9" t="n">
        <v>46125</v>
      </c>
      <c r="H82" s="9" t="n">
        <v>46136</v>
      </c>
      <c r="I82" s="4" t="inlineStr">
        <is>
          <t>Closed</t>
        </is>
      </c>
      <c r="J82" s="4" t="inlineStr">
        <is>
          <t>USD</t>
        </is>
      </c>
      <c r="K82" s="4" t="n">
        <v>3521.24</v>
      </c>
      <c r="L82" s="4" t="n">
        <v>0</v>
      </c>
      <c r="M82" s="4" t="n">
        <v>3521.24</v>
      </c>
      <c r="N82" s="4" t="inlineStr">
        <is>
          <t>OK</t>
        </is>
      </c>
    </row>
    <row r="83">
      <c r="A83" s="4" t="inlineStr">
        <is>
          <t>CLM-100560</t>
        </is>
      </c>
      <c r="B83" s="4" t="inlineStr">
        <is>
          <t>4614605</t>
        </is>
      </c>
      <c r="C83" s="4" t="inlineStr">
        <is>
          <t>Vale Haulage Holdings</t>
        </is>
      </c>
      <c r="D83" s="9" t="n">
        <v>45683</v>
      </c>
      <c r="E83" s="9" t="n">
        <v>46047</v>
      </c>
      <c r="F83" s="4" t="n">
        <v>100000</v>
      </c>
      <c r="G83" s="9" t="n">
        <v>45796</v>
      </c>
      <c r="H83" s="9" t="n">
        <v>45822</v>
      </c>
      <c r="I83" s="4" t="inlineStr">
        <is>
          <t>Open</t>
        </is>
      </c>
      <c r="J83" s="4" t="inlineStr">
        <is>
          <t>GBP</t>
        </is>
      </c>
      <c r="K83" s="4" t="n">
        <v>1349.48</v>
      </c>
      <c r="L83" s="4" t="n">
        <v>6874.55</v>
      </c>
      <c r="M83" s="4" t="n">
        <v>8224.030000000001</v>
      </c>
      <c r="N83" s="4" t="inlineStr">
        <is>
          <t>OK</t>
        </is>
      </c>
    </row>
    <row r="84">
      <c r="A84" s="4" t="inlineStr">
        <is>
          <t>CLM-100567</t>
        </is>
      </c>
      <c r="B84" s="4" t="inlineStr">
        <is>
          <t>4355698</t>
        </is>
      </c>
      <c r="C84" s="4" t="inlineStr">
        <is>
          <t>Calder Farms Limited</t>
        </is>
      </c>
      <c r="D84" s="9" t="n">
        <v>45940</v>
      </c>
      <c r="E84" s="9" t="n">
        <v>46304</v>
      </c>
      <c r="F84" s="4" t="n">
        <v>1000000</v>
      </c>
      <c r="G84" s="9" t="n">
        <v>45981</v>
      </c>
      <c r="H84" s="9" t="n">
        <v>45995</v>
      </c>
      <c r="I84" s="4" t="inlineStr">
        <is>
          <t>Open</t>
        </is>
      </c>
      <c r="J84" s="4" t="inlineStr">
        <is>
          <t>EUR</t>
        </is>
      </c>
      <c r="K84" s="4" t="n">
        <v>34852.06</v>
      </c>
      <c r="L84" s="4" t="n">
        <v>10232.2</v>
      </c>
      <c r="M84" s="4" t="n">
        <v>45084.26</v>
      </c>
      <c r="N84" s="4" t="inlineStr">
        <is>
          <t>OK</t>
        </is>
      </c>
    </row>
    <row r="85">
      <c r="A85" s="4" t="inlineStr">
        <is>
          <t>CLM-100574</t>
        </is>
      </c>
      <c r="B85" s="4" t="inlineStr">
        <is>
          <t>4620830</t>
        </is>
      </c>
      <c r="C85" s="4" t="inlineStr">
        <is>
          <t>Thornbury Print Holdings</t>
        </is>
      </c>
      <c r="D85" s="9" t="n">
        <v>45694</v>
      </c>
      <c r="E85" s="9" t="n">
        <v>46058</v>
      </c>
      <c r="F85" s="4" t="n">
        <v>250000</v>
      </c>
      <c r="G85" s="9" t="n">
        <v>45921</v>
      </c>
      <c r="H85" s="9" t="n">
        <v>45948</v>
      </c>
      <c r="I85" s="4" t="inlineStr">
        <is>
          <t>Open</t>
        </is>
      </c>
      <c r="J85" s="4" t="inlineStr">
        <is>
          <t>EUR</t>
        </is>
      </c>
      <c r="K85" s="4" t="n">
        <v>56216.1</v>
      </c>
      <c r="L85" s="4" t="n">
        <v>37291.11</v>
      </c>
      <c r="M85" s="4" t="n">
        <v>93507.21000000001</v>
      </c>
      <c r="N85" s="4" t="inlineStr">
        <is>
          <t>OK</t>
        </is>
      </c>
    </row>
    <row r="86">
      <c r="A86" s="4" t="inlineStr">
        <is>
          <t>CLM-100581</t>
        </is>
      </c>
      <c r="B86" s="4" t="inlineStr">
        <is>
          <t>4461079</t>
        </is>
      </c>
      <c r="C86" s="4" t="inlineStr">
        <is>
          <t>Rathmore Foods LLP</t>
        </is>
      </c>
      <c r="D86" s="9" t="n">
        <v>45825</v>
      </c>
      <c r="E86" s="9" t="n">
        <v>46189</v>
      </c>
      <c r="F86" s="4" t="n">
        <v>250000</v>
      </c>
      <c r="G86" s="9" t="n">
        <v>46086</v>
      </c>
      <c r="H86" s="9" t="n">
        <v>46114</v>
      </c>
      <c r="I86" s="4" t="inlineStr">
        <is>
          <t>Closed</t>
        </is>
      </c>
      <c r="J86" s="4" t="inlineStr">
        <is>
          <t>USD</t>
        </is>
      </c>
      <c r="K86" s="4" t="n">
        <v>38202.14</v>
      </c>
      <c r="L86" s="4" t="n">
        <v>0</v>
      </c>
      <c r="M86" s="4" t="n">
        <v>38202.14</v>
      </c>
      <c r="N86" s="4" t="inlineStr">
        <is>
          <t>OK</t>
        </is>
      </c>
    </row>
    <row r="87">
      <c r="A87" s="4" t="inlineStr">
        <is>
          <t>CLM-100588</t>
        </is>
      </c>
      <c r="B87" s="4" t="inlineStr">
        <is>
          <t>4275805</t>
        </is>
      </c>
      <c r="C87" s="4" t="inlineStr">
        <is>
          <t>Norland Florists Holdings</t>
        </is>
      </c>
      <c r="D87" s="9" t="n">
        <v>46010</v>
      </c>
      <c r="E87" s="9" t="n">
        <v>46374</v>
      </c>
      <c r="F87" s="4" t="n">
        <v>250000</v>
      </c>
      <c r="G87" s="9" t="n">
        <v>46280</v>
      </c>
      <c r="H87" s="9" t="n">
        <v>46295</v>
      </c>
      <c r="I87" s="4" t="inlineStr">
        <is>
          <t>Open</t>
        </is>
      </c>
      <c r="J87" s="4" t="inlineStr">
        <is>
          <t>GBP</t>
        </is>
      </c>
      <c r="K87" s="4" t="n">
        <v>51508.92</v>
      </c>
      <c r="L87" s="4" t="n">
        <v>49996.98</v>
      </c>
      <c r="M87" s="4" t="n">
        <v>101505.9</v>
      </c>
      <c r="N87" s="4" t="inlineStr">
        <is>
          <t>OK</t>
        </is>
      </c>
    </row>
    <row r="88">
      <c r="A88" s="4" t="inlineStr">
        <is>
          <t>CLM-100595</t>
        </is>
      </c>
      <c r="B88" s="4" t="inlineStr">
        <is>
          <t>4677919</t>
        </is>
      </c>
      <c r="C88" s="4" t="inlineStr">
        <is>
          <t>Westbury Electrical &amp; Sons</t>
        </is>
      </c>
      <c r="D88" s="9" t="n">
        <v>45916</v>
      </c>
      <c r="E88" s="9" t="n">
        <v>46280</v>
      </c>
      <c r="F88" s="4" t="n">
        <v>500000</v>
      </c>
      <c r="G88" s="9" t="n">
        <v>46216</v>
      </c>
      <c r="H88" s="9" t="n">
        <v>46217</v>
      </c>
      <c r="I88" s="4" t="inlineStr">
        <is>
          <t>Open</t>
        </is>
      </c>
      <c r="J88" s="4" t="inlineStr">
        <is>
          <t>GBP</t>
        </is>
      </c>
      <c r="K88" s="4" t="n">
        <v>36387.19</v>
      </c>
      <c r="L88" s="4" t="n">
        <v>23531.01</v>
      </c>
      <c r="M88" s="4" t="n">
        <v>59918.2</v>
      </c>
      <c r="N88" s="4" t="inlineStr">
        <is>
          <t>OK</t>
        </is>
      </c>
    </row>
    <row r="89">
      <c r="A89" s="4" t="inlineStr">
        <is>
          <t>CLM-100602</t>
        </is>
      </c>
      <c r="B89" s="4" t="inlineStr">
        <is>
          <t>4591982</t>
        </is>
      </c>
      <c r="C89" s="4" t="inlineStr">
        <is>
          <t>Norland Motors &amp; Sons</t>
        </is>
      </c>
      <c r="D89" s="9" t="n">
        <v>45723</v>
      </c>
      <c r="E89" s="9" t="n">
        <v>46087</v>
      </c>
      <c r="F89" s="4" t="n">
        <v>250000</v>
      </c>
      <c r="G89" s="9" t="n">
        <v>45982</v>
      </c>
      <c r="H89" s="9" t="n">
        <v>46011</v>
      </c>
      <c r="I89" s="4" t="inlineStr">
        <is>
          <t>Open</t>
        </is>
      </c>
      <c r="J89" s="4" t="inlineStr">
        <is>
          <t>GBP</t>
        </is>
      </c>
      <c r="K89" s="4" t="n">
        <v>18751.83</v>
      </c>
      <c r="L89" s="4" t="n">
        <v>13279.87</v>
      </c>
      <c r="M89" s="4" t="n">
        <v>32031.7</v>
      </c>
      <c r="N89" s="4" t="inlineStr">
        <is>
          <t>OK</t>
        </is>
      </c>
    </row>
    <row r="90">
      <c r="A90" s="4" t="inlineStr">
        <is>
          <t>CLM-100609</t>
        </is>
      </c>
      <c r="B90" s="4" t="inlineStr">
        <is>
          <t>4745824</t>
        </is>
      </c>
      <c r="C90" s="4" t="inlineStr">
        <is>
          <t>Yarrow Joinery Group</t>
        </is>
      </c>
      <c r="D90" s="9" t="n">
        <v>45833</v>
      </c>
      <c r="E90" s="9" t="n">
        <v>46197</v>
      </c>
      <c r="F90" s="4" t="n">
        <v>100000</v>
      </c>
      <c r="G90" s="9" t="n">
        <v>45976</v>
      </c>
      <c r="H90" s="9" t="n">
        <v>46001</v>
      </c>
      <c r="I90" s="4" t="inlineStr">
        <is>
          <t>Open</t>
        </is>
      </c>
      <c r="J90" s="4" t="inlineStr">
        <is>
          <t>GBP</t>
        </is>
      </c>
      <c r="K90" s="4" t="n">
        <v>27583.65</v>
      </c>
      <c r="L90" s="4" t="n">
        <v>35266.92</v>
      </c>
      <c r="M90" s="4" t="n">
        <v>62850.57</v>
      </c>
      <c r="N90" s="4" t="inlineStr">
        <is>
          <t>OK</t>
        </is>
      </c>
    </row>
    <row r="91">
      <c r="A91" s="4" t="inlineStr">
        <is>
          <t>CLM-100616</t>
        </is>
      </c>
      <c r="B91" s="4" t="inlineStr">
        <is>
          <t>4431027</t>
        </is>
      </c>
      <c r="C91" s="4" t="inlineStr">
        <is>
          <t>Inglewood Hotels Holdings</t>
        </is>
      </c>
      <c r="D91" s="9" t="n">
        <v>45734</v>
      </c>
      <c r="E91" s="9" t="n">
        <v>46098</v>
      </c>
      <c r="F91" s="4" t="n">
        <v>1000000</v>
      </c>
      <c r="G91" s="9" t="n">
        <v>45804</v>
      </c>
      <c r="H91" s="9" t="n">
        <v>45839</v>
      </c>
      <c r="I91" s="4" t="inlineStr">
        <is>
          <t>Open</t>
        </is>
      </c>
      <c r="J91" s="4" t="inlineStr">
        <is>
          <t>USD</t>
        </is>
      </c>
      <c r="K91" s="4" t="n">
        <v>47645.59</v>
      </c>
      <c r="L91" s="4" t="n">
        <v>38451.2</v>
      </c>
      <c r="M91" s="4" t="n">
        <v>86096.78999999999</v>
      </c>
      <c r="N91" s="4" t="inlineStr">
        <is>
          <t>OK</t>
        </is>
      </c>
    </row>
    <row r="92">
      <c r="A92" s="4" t="inlineStr">
        <is>
          <t>CLM-100623</t>
        </is>
      </c>
      <c r="B92" s="4" t="inlineStr">
        <is>
          <t>4176077</t>
        </is>
      </c>
      <c r="C92" s="4" t="inlineStr">
        <is>
          <t>Juniper Builders LLP</t>
        </is>
      </c>
      <c r="D92" s="9" t="n">
        <v>45968</v>
      </c>
      <c r="E92" s="9" t="n">
        <v>46332</v>
      </c>
      <c r="F92" s="4" t="n">
        <v>500000</v>
      </c>
      <c r="G92" s="9" t="n">
        <v>46229</v>
      </c>
      <c r="H92" s="9" t="n">
        <v>46269</v>
      </c>
      <c r="I92" s="4" t="inlineStr">
        <is>
          <t>Open</t>
        </is>
      </c>
      <c r="J92" s="4" t="inlineStr">
        <is>
          <t>USD</t>
        </is>
      </c>
      <c r="K92" s="4" t="n">
        <v>49677.32</v>
      </c>
      <c r="L92" s="4" t="n">
        <v>44066.53</v>
      </c>
      <c r="M92" s="4" t="n">
        <v>93743.85000000001</v>
      </c>
      <c r="N92" s="4" t="inlineStr">
        <is>
          <t>OK</t>
        </is>
      </c>
    </row>
    <row r="93">
      <c r="A93" s="4" t="inlineStr">
        <is>
          <t>CLM-100630</t>
        </is>
      </c>
      <c r="B93" s="4" t="inlineStr">
        <is>
          <t>4730051</t>
        </is>
      </c>
      <c r="C93" s="4" t="inlineStr">
        <is>
          <t>Inglewood Pharmacy Holdings</t>
        </is>
      </c>
      <c r="D93" s="9" t="n">
        <v>45985</v>
      </c>
      <c r="E93" s="9" t="n">
        <v>46349</v>
      </c>
      <c r="F93" s="4" t="n">
        <v>100000</v>
      </c>
      <c r="G93" s="9" t="n">
        <v>46284</v>
      </c>
      <c r="H93" s="9" t="n">
        <v>46287</v>
      </c>
      <c r="I93" s="4" t="inlineStr">
        <is>
          <t>Open</t>
        </is>
      </c>
      <c r="J93" s="4" t="inlineStr">
        <is>
          <t>USD</t>
        </is>
      </c>
      <c r="K93" s="4" t="n">
        <v>17512.17</v>
      </c>
      <c r="L93" s="4" t="n">
        <v>3283.5</v>
      </c>
      <c r="M93" s="4" t="n">
        <v>20795.67</v>
      </c>
      <c r="N93" s="4" t="inlineStr">
        <is>
          <t>OK</t>
        </is>
      </c>
    </row>
    <row r="94">
      <c r="A94" s="4" t="inlineStr">
        <is>
          <t>CLM-100637</t>
        </is>
      </c>
      <c r="B94" s="4" t="inlineStr">
        <is>
          <t>4886076</t>
        </is>
      </c>
      <c r="C94" s="4" t="inlineStr">
        <is>
          <t>Quarry Motors LLP</t>
        </is>
      </c>
      <c r="D94" s="9" t="n">
        <v>45683</v>
      </c>
      <c r="E94" s="9" t="n">
        <v>46047</v>
      </c>
      <c r="F94" s="4" t="n">
        <v>250000</v>
      </c>
      <c r="G94" s="9" t="n">
        <v>45824</v>
      </c>
      <c r="H94" s="9" t="n">
        <v>45847</v>
      </c>
      <c r="I94" s="4" t="inlineStr">
        <is>
          <t>Closed</t>
        </is>
      </c>
      <c r="J94" s="4" t="inlineStr">
        <is>
          <t>EUR</t>
        </is>
      </c>
      <c r="K94" s="4" t="n">
        <v>59488.53</v>
      </c>
      <c r="L94" s="4" t="n">
        <v>0</v>
      </c>
      <c r="M94" s="4" t="n">
        <v>59488.53</v>
      </c>
      <c r="N94" s="4" t="inlineStr">
        <is>
          <t>OK</t>
        </is>
      </c>
    </row>
    <row r="95">
      <c r="A95" s="4" t="inlineStr">
        <is>
          <t>CLM-100644</t>
        </is>
      </c>
      <c r="B95" s="4" t="inlineStr">
        <is>
          <t>4560639</t>
        </is>
      </c>
      <c r="C95" s="4" t="inlineStr">
        <is>
          <t>Merrow Motors Limited</t>
        </is>
      </c>
      <c r="D95" s="9" t="n">
        <v>45755</v>
      </c>
      <c r="E95" s="9" t="n">
        <v>46119</v>
      </c>
      <c r="F95" s="4" t="n">
        <v>500000</v>
      </c>
      <c r="G95" s="9" t="n">
        <v>46029</v>
      </c>
      <c r="H95" s="9" t="n">
        <v>46039</v>
      </c>
      <c r="I95" s="4" t="inlineStr">
        <is>
          <t>Open</t>
        </is>
      </c>
      <c r="J95" s="4" t="inlineStr">
        <is>
          <t>GBP</t>
        </is>
      </c>
      <c r="K95" s="4" t="n">
        <v>57041.83</v>
      </c>
      <c r="L95" s="4" t="n">
        <v>50422.75</v>
      </c>
      <c r="M95" s="4" t="n">
        <v>107464.58</v>
      </c>
      <c r="N95" s="4" t="inlineStr">
        <is>
          <t>OK</t>
        </is>
      </c>
    </row>
    <row r="96">
      <c r="A96" s="4" t="inlineStr">
        <is>
          <t>CLM-100651</t>
        </is>
      </c>
      <c r="B96" s="4" t="inlineStr">
        <is>
          <t>4022114</t>
        </is>
      </c>
      <c r="C96" s="4" t="inlineStr">
        <is>
          <t>Upton Foods Limited</t>
        </is>
      </c>
      <c r="D96" s="9" t="n">
        <v>45841</v>
      </c>
      <c r="E96" s="9" t="n">
        <v>46205</v>
      </c>
      <c r="F96" s="4" t="n">
        <v>250000</v>
      </c>
      <c r="G96" s="9" t="n">
        <v>46076</v>
      </c>
      <c r="H96" s="9" t="n">
        <v>46096</v>
      </c>
      <c r="I96" s="4" t="inlineStr">
        <is>
          <t>Open</t>
        </is>
      </c>
      <c r="J96" s="4" t="inlineStr">
        <is>
          <t>GBP</t>
        </is>
      </c>
      <c r="K96" s="4" t="n">
        <v>6981.31</v>
      </c>
      <c r="L96" s="4" t="n">
        <v>66940.17999999999</v>
      </c>
      <c r="M96" s="4" t="n">
        <v>73921.49000000001</v>
      </c>
      <c r="N96" s="4" t="inlineStr">
        <is>
          <t>OK</t>
        </is>
      </c>
    </row>
    <row r="97">
      <c r="A97" s="4" t="inlineStr">
        <is>
          <t>CLM-100658</t>
        </is>
      </c>
      <c r="B97" s="4" t="inlineStr">
        <is>
          <t>4455860</t>
        </is>
      </c>
      <c r="C97" s="4" t="inlineStr">
        <is>
          <t>Inglewood Bakery Limited</t>
        </is>
      </c>
      <c r="D97" s="9" t="n">
        <v>45738</v>
      </c>
      <c r="E97" s="9" t="n">
        <v>46102</v>
      </c>
      <c r="F97" s="4" t="n">
        <v>500000</v>
      </c>
      <c r="G97" s="9" t="n">
        <v>45786</v>
      </c>
      <c r="H97" s="9" t="n">
        <v>45816</v>
      </c>
      <c r="I97" s="4" t="inlineStr">
        <is>
          <t>Open</t>
        </is>
      </c>
      <c r="J97" s="4" t="inlineStr">
        <is>
          <t>GBP</t>
        </is>
      </c>
      <c r="K97" s="4" t="n">
        <v>40819.6</v>
      </c>
      <c r="L97" s="4" t="n">
        <v>56813.68</v>
      </c>
      <c r="M97" s="4" t="n">
        <v>97633.28</v>
      </c>
      <c r="N97" s="4" t="inlineStr">
        <is>
          <t>OK</t>
        </is>
      </c>
    </row>
    <row r="98">
      <c r="A98" s="4" t="inlineStr">
        <is>
          <t>CLM-100665</t>
        </is>
      </c>
      <c r="B98" s="4" t="inlineStr">
        <is>
          <t>4006026</t>
        </is>
      </c>
      <c r="C98" s="4" t="inlineStr">
        <is>
          <t>Yarrow Florists &amp; Sons</t>
        </is>
      </c>
      <c r="D98" s="9" t="n">
        <v>45775</v>
      </c>
      <c r="E98" s="9" t="n">
        <v>46139</v>
      </c>
      <c r="F98" s="4" t="n">
        <v>100000</v>
      </c>
      <c r="G98" s="9" t="n">
        <v>45961</v>
      </c>
      <c r="H98" s="9" t="n">
        <v>45969</v>
      </c>
      <c r="I98" s="4" t="inlineStr">
        <is>
          <t>Open</t>
        </is>
      </c>
      <c r="J98" s="4" t="inlineStr">
        <is>
          <t>GBP</t>
        </is>
      </c>
      <c r="K98" s="4" t="n">
        <v>6237.91</v>
      </c>
      <c r="L98" s="4" t="n">
        <v>6936.65</v>
      </c>
      <c r="M98" s="4" t="n">
        <v>13174.56</v>
      </c>
      <c r="N98" s="4" t="inlineStr">
        <is>
          <t>OK</t>
        </is>
      </c>
    </row>
    <row r="99">
      <c r="A99" s="4" t="inlineStr">
        <is>
          <t>CLM-100672</t>
        </is>
      </c>
      <c r="B99" s="4" t="inlineStr">
        <is>
          <t>4559441</t>
        </is>
      </c>
      <c r="C99" s="4" t="inlineStr">
        <is>
          <t>Rathmore Foods LLP</t>
        </is>
      </c>
      <c r="D99" s="9" t="n">
        <v>45702</v>
      </c>
      <c r="E99" s="9" t="n">
        <v>46066</v>
      </c>
      <c r="F99" s="4" t="n">
        <v>500000</v>
      </c>
      <c r="G99" s="9" t="n">
        <v>45858</v>
      </c>
      <c r="H99" s="9" t="n">
        <v>45898</v>
      </c>
      <c r="I99" s="4" t="inlineStr">
        <is>
          <t>Open</t>
        </is>
      </c>
      <c r="J99" s="4" t="inlineStr">
        <is>
          <t>GBP</t>
        </is>
      </c>
      <c r="K99" s="4" t="n">
        <v>50483.74</v>
      </c>
      <c r="L99" s="4" t="n">
        <v>21320.97</v>
      </c>
      <c r="M99" s="4" t="n">
        <v>71804.71000000001</v>
      </c>
      <c r="N99" s="4" t="inlineStr">
        <is>
          <t>OK</t>
        </is>
      </c>
    </row>
    <row r="100">
      <c r="A100" s="4" t="inlineStr">
        <is>
          <t>CLM-100679</t>
        </is>
      </c>
      <c r="B100" s="4" t="inlineStr">
        <is>
          <t>4799338</t>
        </is>
      </c>
      <c r="C100" s="4" t="inlineStr">
        <is>
          <t>Kestrel Electrical &amp; Sons</t>
        </is>
      </c>
      <c r="D100" s="9" t="n">
        <v>45710</v>
      </c>
      <c r="E100" s="9" t="n">
        <v>46074</v>
      </c>
      <c r="F100" s="4" t="n">
        <v>500000</v>
      </c>
      <c r="G100" s="9" t="n">
        <v>46006</v>
      </c>
      <c r="H100" s="9" t="n">
        <v>46013</v>
      </c>
      <c r="I100" s="4" t="inlineStr">
        <is>
          <t>Open</t>
        </is>
      </c>
      <c r="J100" s="4" t="inlineStr">
        <is>
          <t>GBP</t>
        </is>
      </c>
      <c r="K100" s="4" t="n">
        <v>7357.9</v>
      </c>
      <c r="L100" s="4" t="n">
        <v>56194.72</v>
      </c>
      <c r="M100" s="4" t="n">
        <v>63552.62</v>
      </c>
      <c r="N100" s="4" t="inlineStr">
        <is>
          <t>OK</t>
        </is>
      </c>
    </row>
    <row r="101">
      <c r="A101" s="4" t="inlineStr">
        <is>
          <t>CLM-100686</t>
        </is>
      </c>
      <c r="B101" s="4" t="inlineStr">
        <is>
          <t>4579367</t>
        </is>
      </c>
      <c r="C101" s="4" t="inlineStr">
        <is>
          <t>Dunmore Hotels Ltd</t>
        </is>
      </c>
      <c r="D101" s="9" t="n">
        <v>45860</v>
      </c>
      <c r="E101" s="9" t="n">
        <v>46224</v>
      </c>
      <c r="F101" s="4" t="n">
        <v>250000</v>
      </c>
      <c r="G101" s="9" t="n">
        <v>46073</v>
      </c>
      <c r="H101" s="9" t="n">
        <v>46101</v>
      </c>
      <c r="I101" s="4" t="inlineStr">
        <is>
          <t>Open</t>
        </is>
      </c>
      <c r="J101" s="4" t="inlineStr">
        <is>
          <t>GBP</t>
        </is>
      </c>
      <c r="K101" s="4" t="n">
        <v>59517.68</v>
      </c>
      <c r="L101" s="4" t="n">
        <v>43061.99</v>
      </c>
      <c r="M101" s="4" t="n">
        <v>102579.67</v>
      </c>
      <c r="N101" s="4" t="inlineStr">
        <is>
          <t>OK</t>
        </is>
      </c>
    </row>
    <row r="102">
      <c r="A102" s="4" t="inlineStr">
        <is>
          <t>CLM-100693</t>
        </is>
      </c>
      <c r="B102" s="4" t="inlineStr">
        <is>
          <t>4049934</t>
        </is>
      </c>
      <c r="C102" s="4" t="inlineStr">
        <is>
          <t>Ballina Dental Holdings</t>
        </is>
      </c>
      <c r="D102" s="9" t="n">
        <v>45675</v>
      </c>
      <c r="E102" s="9" t="n">
        <v>46039</v>
      </c>
      <c r="F102" s="4" t="n">
        <v>500000</v>
      </c>
      <c r="G102" s="9" t="n">
        <v>45836</v>
      </c>
      <c r="H102" s="9" t="n">
        <v>45853</v>
      </c>
      <c r="I102" s="4" t="inlineStr">
        <is>
          <t>Open</t>
        </is>
      </c>
      <c r="J102" s="4" t="inlineStr">
        <is>
          <t>USD</t>
        </is>
      </c>
      <c r="K102" s="4" t="n">
        <v>14641.24</v>
      </c>
      <c r="L102" s="4" t="n">
        <v>34048.91</v>
      </c>
      <c r="M102" s="4" t="n">
        <v>48690.15</v>
      </c>
      <c r="N102" s="4" t="inlineStr">
        <is>
          <t>OK</t>
        </is>
      </c>
    </row>
    <row r="103">
      <c r="A103" s="4" t="inlineStr">
        <is>
          <t>CLM-100700</t>
        </is>
      </c>
      <c r="B103" s="4" t="inlineStr">
        <is>
          <t>4433139</t>
        </is>
      </c>
      <c r="C103" s="4" t="inlineStr">
        <is>
          <t>Rathmore Foods LLP</t>
        </is>
      </c>
      <c r="D103" s="9" t="n">
        <v>45725</v>
      </c>
      <c r="E103" s="9" t="n">
        <v>46089</v>
      </c>
      <c r="F103" s="4" t="n">
        <v>100000</v>
      </c>
      <c r="G103" s="9" t="n">
        <v>45739</v>
      </c>
      <c r="H103" s="9" t="n">
        <v>45767</v>
      </c>
      <c r="I103" s="4" t="inlineStr">
        <is>
          <t>Open</t>
        </is>
      </c>
      <c r="J103" s="4" t="inlineStr">
        <is>
          <t>GBP</t>
        </is>
      </c>
      <c r="K103" s="4" t="n">
        <v>33849.37</v>
      </c>
      <c r="L103" s="4" t="n">
        <v>12736.05</v>
      </c>
      <c r="M103" s="4" t="n">
        <v>46585.42</v>
      </c>
      <c r="N103" s="4" t="inlineStr">
        <is>
          <t>OK</t>
        </is>
      </c>
    </row>
    <row r="104">
      <c r="A104" s="4" t="inlineStr">
        <is>
          <t>CLM-100707</t>
        </is>
      </c>
      <c r="B104" s="4" t="inlineStr">
        <is>
          <t>4652717</t>
        </is>
      </c>
      <c r="C104" s="4" t="inlineStr">
        <is>
          <t>Calder Logistics Group</t>
        </is>
      </c>
      <c r="D104" s="9" t="n">
        <v>45681</v>
      </c>
      <c r="E104" s="9" t="n">
        <v>46045</v>
      </c>
      <c r="F104" s="4" t="n">
        <v>500000</v>
      </c>
      <c r="G104" s="9" t="n">
        <v>45688</v>
      </c>
      <c r="H104" s="9" t="n">
        <v>45724</v>
      </c>
      <c r="I104" s="4" t="inlineStr">
        <is>
          <t>Closed</t>
        </is>
      </c>
      <c r="J104" s="4" t="inlineStr">
        <is>
          <t>GBP</t>
        </is>
      </c>
      <c r="K104" s="4" t="n">
        <v>28976.74</v>
      </c>
      <c r="L104" s="4" t="n">
        <v>0</v>
      </c>
      <c r="M104" s="4" t="n">
        <v>28976.74</v>
      </c>
      <c r="N104" s="4" t="inlineStr">
        <is>
          <t>OK</t>
        </is>
      </c>
    </row>
    <row r="105">
      <c r="A105" s="4" t="inlineStr">
        <is>
          <t>CLM-100714</t>
        </is>
      </c>
      <c r="B105" s="4" t="inlineStr">
        <is>
          <t>4452448</t>
        </is>
      </c>
      <c r="C105" s="4" t="inlineStr">
        <is>
          <t>Quarry Garages &amp; Sons</t>
        </is>
      </c>
      <c r="D105" s="9" t="n">
        <v>45850</v>
      </c>
      <c r="E105" s="9" t="n">
        <v>46214</v>
      </c>
      <c r="F105" s="4" t="n">
        <v>250000</v>
      </c>
      <c r="G105" s="9" t="n">
        <v>45945</v>
      </c>
      <c r="H105" s="9" t="n">
        <v>45953</v>
      </c>
      <c r="I105" s="4" t="inlineStr">
        <is>
          <t>Closed</t>
        </is>
      </c>
      <c r="J105" s="4" t="inlineStr">
        <is>
          <t>GBP</t>
        </is>
      </c>
      <c r="K105" s="4" t="n">
        <v>11744.84</v>
      </c>
      <c r="L105" s="4" t="n">
        <v>0</v>
      </c>
      <c r="M105" s="4" t="n">
        <v>11744.84</v>
      </c>
      <c r="N105" s="4" t="inlineStr">
        <is>
          <t>OK</t>
        </is>
      </c>
    </row>
    <row r="106">
      <c r="A106" s="4" t="inlineStr">
        <is>
          <t>CLM-100721</t>
        </is>
      </c>
      <c r="B106" s="4" t="inlineStr">
        <is>
          <t>4056735</t>
        </is>
      </c>
      <c r="C106" s="4" t="inlineStr">
        <is>
          <t>Westbury Marine Ltd</t>
        </is>
      </c>
      <c r="D106" s="9" t="n">
        <v>45678</v>
      </c>
      <c r="E106" s="9" t="n">
        <v>46042</v>
      </c>
      <c r="F106" s="4" t="n">
        <v>500000</v>
      </c>
      <c r="G106" s="9" t="n">
        <v>45779</v>
      </c>
      <c r="H106" s="9" t="n">
        <v>45790</v>
      </c>
      <c r="I106" s="4" t="inlineStr">
        <is>
          <t>Open</t>
        </is>
      </c>
      <c r="J106" s="4" t="inlineStr">
        <is>
          <t>GBP</t>
        </is>
      </c>
      <c r="K106" s="4" t="n">
        <v>36561.51</v>
      </c>
      <c r="L106" s="4" t="n">
        <v>4391.63</v>
      </c>
      <c r="M106" s="4" t="n">
        <v>40953.14</v>
      </c>
      <c r="N106" s="4" t="inlineStr">
        <is>
          <t>OK</t>
        </is>
      </c>
    </row>
    <row r="107">
      <c r="A107" s="4" t="inlineStr">
        <is>
          <t>CLM-100728</t>
        </is>
      </c>
      <c r="B107" s="4" t="inlineStr">
        <is>
          <t>4572227</t>
        </is>
      </c>
      <c r="C107" s="4" t="inlineStr">
        <is>
          <t>Vale Farms LLP</t>
        </is>
      </c>
      <c r="D107" s="9" t="n">
        <v>45725</v>
      </c>
      <c r="E107" s="9" t="n">
        <v>46089</v>
      </c>
      <c r="F107" s="4" t="n">
        <v>1000000</v>
      </c>
      <c r="G107" s="9" t="n">
        <v>45767</v>
      </c>
      <c r="H107" s="9" t="n">
        <v>45792</v>
      </c>
      <c r="I107" s="4" t="inlineStr">
        <is>
          <t>Closed</t>
        </is>
      </c>
      <c r="J107" s="6" t="inlineStr">
        <is>
          <t>XXX</t>
        </is>
      </c>
      <c r="K107" s="4" t="n">
        <v>56621.16</v>
      </c>
      <c r="L107" s="4" t="n">
        <v>0</v>
      </c>
      <c r="M107" s="4" t="n">
        <v>56621.16</v>
      </c>
      <c r="N107" s="6" t="inlineStr">
        <is>
          <t>Error: Currency code not recognised: 'XXX' is not a valid ISO 4217 code.</t>
        </is>
      </c>
    </row>
    <row r="108">
      <c r="A108" s="4" t="inlineStr">
        <is>
          <t>CLM-100735</t>
        </is>
      </c>
      <c r="B108" s="4" t="inlineStr">
        <is>
          <t>4612464</t>
        </is>
      </c>
      <c r="C108" s="4" t="inlineStr">
        <is>
          <t>Vale Electrical LLP</t>
        </is>
      </c>
      <c r="D108" s="9" t="n">
        <v>45726</v>
      </c>
      <c r="E108" s="9" t="n">
        <v>46090</v>
      </c>
      <c r="F108" s="4" t="n">
        <v>500000</v>
      </c>
      <c r="G108" s="9" t="n">
        <v>46053</v>
      </c>
      <c r="H108" s="9" t="n">
        <v>46083</v>
      </c>
      <c r="I108" s="4" t="inlineStr">
        <is>
          <t>Open</t>
        </is>
      </c>
      <c r="J108" s="4" t="inlineStr">
        <is>
          <t>GBP</t>
        </is>
      </c>
      <c r="K108" s="4" t="n">
        <v>48743.3</v>
      </c>
      <c r="L108" s="4" t="n">
        <v>59535.21</v>
      </c>
      <c r="M108" s="4" t="n">
        <v>108278.51</v>
      </c>
      <c r="N108" s="4" t="inlineStr">
        <is>
          <t>OK</t>
        </is>
      </c>
    </row>
    <row r="109">
      <c r="A109" s="4" t="inlineStr">
        <is>
          <t>CLM-100742</t>
        </is>
      </c>
      <c r="B109" s="4" t="inlineStr">
        <is>
          <t>4043010</t>
        </is>
      </c>
      <c r="C109" s="4" t="inlineStr">
        <is>
          <t>Dunmore Haulage Limited</t>
        </is>
      </c>
      <c r="D109" s="9" t="n">
        <v>45819</v>
      </c>
      <c r="E109" s="9" t="n">
        <v>46183</v>
      </c>
      <c r="F109" s="4" t="n">
        <v>500000</v>
      </c>
      <c r="G109" s="9" t="n">
        <v>45973</v>
      </c>
      <c r="H109" s="9" t="n">
        <v>45976</v>
      </c>
      <c r="I109" s="4" t="inlineStr">
        <is>
          <t>Open</t>
        </is>
      </c>
      <c r="J109" s="4" t="inlineStr">
        <is>
          <t>GBP</t>
        </is>
      </c>
      <c r="K109" s="4" t="n">
        <v>4529.8</v>
      </c>
      <c r="L109" s="4" t="n">
        <v>6684.35</v>
      </c>
      <c r="M109" s="4" t="n">
        <v>11214.15</v>
      </c>
      <c r="N109" s="4" t="inlineStr">
        <is>
          <t>OK</t>
        </is>
      </c>
    </row>
    <row r="110">
      <c r="A110" s="4" t="inlineStr">
        <is>
          <t>CLM-100749</t>
        </is>
      </c>
      <c r="B110" s="4" t="inlineStr">
        <is>
          <t>4818926</t>
        </is>
      </c>
      <c r="C110" s="4" t="inlineStr">
        <is>
          <t>Ellery Motors Limited</t>
        </is>
      </c>
      <c r="D110" s="9" t="n">
        <v>45825</v>
      </c>
      <c r="E110" s="9" t="n">
        <v>46189</v>
      </c>
      <c r="F110" s="4" t="n">
        <v>1000000</v>
      </c>
      <c r="G110" s="9" t="n">
        <v>45972</v>
      </c>
      <c r="H110" s="9" t="n">
        <v>45975</v>
      </c>
      <c r="I110" s="4" t="inlineStr">
        <is>
          <t>Reopened</t>
        </is>
      </c>
      <c r="J110" s="4" t="inlineStr">
        <is>
          <t>GBP</t>
        </is>
      </c>
      <c r="K110" s="4" t="n">
        <v>34848.38</v>
      </c>
      <c r="L110" s="4" t="n">
        <v>33700.53</v>
      </c>
      <c r="M110" s="4" t="n">
        <v>68548.91</v>
      </c>
      <c r="N110" s="4" t="inlineStr">
        <is>
          <t>OK</t>
        </is>
      </c>
    </row>
    <row r="111">
      <c r="A111" s="4" t="inlineStr">
        <is>
          <t>CLM-100756</t>
        </is>
      </c>
      <c r="B111" s="4" t="inlineStr">
        <is>
          <t>4468702</t>
        </is>
      </c>
      <c r="C111" s="4" t="inlineStr">
        <is>
          <t>Ellery Engineering Group</t>
        </is>
      </c>
      <c r="D111" s="9" t="n">
        <v>45854</v>
      </c>
      <c r="E111" s="9" t="n">
        <v>46218</v>
      </c>
      <c r="F111" s="4" t="n">
        <v>250000</v>
      </c>
      <c r="G111" s="9" t="n">
        <v>45989</v>
      </c>
      <c r="H111" s="9" t="n">
        <v>46028</v>
      </c>
      <c r="I111" s="4" t="inlineStr">
        <is>
          <t>Open</t>
        </is>
      </c>
      <c r="J111" s="4" t="inlineStr">
        <is>
          <t>EUR</t>
        </is>
      </c>
      <c r="K111" s="4" t="n">
        <v>30515.89</v>
      </c>
      <c r="L111" s="4" t="n">
        <v>48119.55</v>
      </c>
      <c r="M111" s="4" t="n">
        <v>78635.44</v>
      </c>
      <c r="N111" s="4" t="inlineStr">
        <is>
          <t>OK</t>
        </is>
      </c>
    </row>
    <row r="112">
      <c r="A112" s="4" t="inlineStr">
        <is>
          <t>CLM-100763</t>
        </is>
      </c>
      <c r="B112" s="4" t="inlineStr">
        <is>
          <t>4228427</t>
        </is>
      </c>
      <c r="C112" s="4" t="inlineStr">
        <is>
          <t>Quarry Haulage Ltd</t>
        </is>
      </c>
      <c r="D112" s="9" t="n">
        <v>45757</v>
      </c>
      <c r="E112" s="9" t="n">
        <v>46121</v>
      </c>
      <c r="F112" s="4" t="n">
        <v>250000</v>
      </c>
      <c r="G112" s="9" t="n">
        <v>45783</v>
      </c>
      <c r="H112" s="9" t="n">
        <v>45817</v>
      </c>
      <c r="I112" s="4" t="inlineStr">
        <is>
          <t>Open</t>
        </is>
      </c>
      <c r="J112" s="4" t="inlineStr">
        <is>
          <t>EUR</t>
        </is>
      </c>
      <c r="K112" s="4" t="n">
        <v>36212.63</v>
      </c>
      <c r="L112" s="4" t="n">
        <v>72399.66</v>
      </c>
      <c r="M112" s="4" t="n">
        <v>108612.29</v>
      </c>
      <c r="N112" s="4" t="inlineStr">
        <is>
          <t>OK</t>
        </is>
      </c>
    </row>
    <row r="113">
      <c r="A113" s="4" t="inlineStr">
        <is>
          <t>CLM-100770</t>
        </is>
      </c>
      <c r="B113" s="4" t="inlineStr">
        <is>
          <t>4185252</t>
        </is>
      </c>
      <c r="C113" s="4" t="inlineStr">
        <is>
          <t>Vale Freight Limited</t>
        </is>
      </c>
      <c r="D113" s="9" t="n">
        <v>45665</v>
      </c>
      <c r="E113" s="9" t="n">
        <v>46029</v>
      </c>
      <c r="F113" s="4" t="n">
        <v>100000</v>
      </c>
      <c r="G113" s="9" t="n">
        <v>45905</v>
      </c>
      <c r="H113" s="9" t="n">
        <v>45915</v>
      </c>
      <c r="I113" s="4" t="inlineStr">
        <is>
          <t>Open</t>
        </is>
      </c>
      <c r="J113" s="4" t="inlineStr">
        <is>
          <t>GBP</t>
        </is>
      </c>
      <c r="K113" s="4" t="n">
        <v>8208.209999999999</v>
      </c>
      <c r="L113" s="4" t="n">
        <v>17668.4</v>
      </c>
      <c r="M113" s="4" t="n">
        <v>25876.61</v>
      </c>
      <c r="N113" s="4" t="inlineStr">
        <is>
          <t>OK</t>
        </is>
      </c>
    </row>
    <row r="114">
      <c r="A114" s="4" t="inlineStr">
        <is>
          <t>CLM-100777</t>
        </is>
      </c>
      <c r="B114" s="4" t="inlineStr">
        <is>
          <t>4227947</t>
        </is>
      </c>
      <c r="C114" s="4" t="inlineStr">
        <is>
          <t>Ellery Hotels plc</t>
        </is>
      </c>
      <c r="D114" s="9" t="n">
        <v>45912</v>
      </c>
      <c r="E114" s="9" t="n">
        <v>46276</v>
      </c>
      <c r="F114" s="4" t="n">
        <v>500000</v>
      </c>
      <c r="G114" s="9" t="n">
        <v>46114</v>
      </c>
      <c r="H114" s="9" t="n">
        <v>46151</v>
      </c>
      <c r="I114" s="4" t="inlineStr">
        <is>
          <t>Open</t>
        </is>
      </c>
      <c r="J114" s="4" t="inlineStr">
        <is>
          <t>GBP</t>
        </is>
      </c>
      <c r="K114" s="4" t="n">
        <v>20670.47</v>
      </c>
      <c r="L114" s="4" t="n">
        <v>10817.52</v>
      </c>
      <c r="M114" s="4" t="n">
        <v>31487.99</v>
      </c>
      <c r="N114" s="4" t="inlineStr">
        <is>
          <t>OK</t>
        </is>
      </c>
    </row>
    <row r="115">
      <c r="A115" s="4" t="inlineStr">
        <is>
          <t>CLM-100784</t>
        </is>
      </c>
      <c r="B115" s="4" t="inlineStr">
        <is>
          <t>4690091</t>
        </is>
      </c>
      <c r="C115" s="4" t="inlineStr">
        <is>
          <t>Selby Print LLP</t>
        </is>
      </c>
      <c r="D115" s="9" t="n">
        <v>45934</v>
      </c>
      <c r="E115" s="9" t="n">
        <v>46298</v>
      </c>
      <c r="F115" s="4" t="n">
        <v>250000</v>
      </c>
      <c r="G115" s="9" t="n">
        <v>46235</v>
      </c>
      <c r="H115" s="9" t="n">
        <v>46242</v>
      </c>
      <c r="I115" s="4" t="inlineStr">
        <is>
          <t>Open</t>
        </is>
      </c>
      <c r="J115" s="4" t="inlineStr">
        <is>
          <t>USD</t>
        </is>
      </c>
      <c r="K115" s="4" t="n">
        <v>27229.79</v>
      </c>
      <c r="L115" s="4" t="n">
        <v>61529.35</v>
      </c>
      <c r="M115" s="4" t="n">
        <v>88759.14</v>
      </c>
      <c r="N115" s="4" t="inlineStr">
        <is>
          <t>OK</t>
        </is>
      </c>
    </row>
    <row r="116">
      <c r="A116" s="4" t="inlineStr">
        <is>
          <t>CLM-100791</t>
        </is>
      </c>
      <c r="B116" s="4" t="inlineStr">
        <is>
          <t>4810679</t>
        </is>
      </c>
      <c r="C116" s="4" t="inlineStr">
        <is>
          <t>Calder Florists Holdings</t>
        </is>
      </c>
      <c r="D116" s="9" t="n">
        <v>45762</v>
      </c>
      <c r="E116" s="9" t="n">
        <v>46126</v>
      </c>
      <c r="F116" s="4" t="n">
        <v>250000</v>
      </c>
      <c r="G116" s="9" t="n">
        <v>46032</v>
      </c>
      <c r="H116" s="9" t="n">
        <v>46067</v>
      </c>
      <c r="I116" s="4" t="inlineStr">
        <is>
          <t>Open</t>
        </is>
      </c>
      <c r="J116" s="4" t="inlineStr">
        <is>
          <t>EUR</t>
        </is>
      </c>
      <c r="K116" s="4" t="n">
        <v>49110.75</v>
      </c>
      <c r="L116" s="4" t="n">
        <v>9453.49</v>
      </c>
      <c r="M116" s="4" t="n">
        <v>58564.24</v>
      </c>
      <c r="N116" s="4" t="inlineStr">
        <is>
          <t>OK</t>
        </is>
      </c>
    </row>
    <row r="117">
      <c r="A117" s="4" t="inlineStr">
        <is>
          <t>CLM-100798</t>
        </is>
      </c>
      <c r="B117" s="4" t="inlineStr">
        <is>
          <t>4036644</t>
        </is>
      </c>
      <c r="C117" s="4" t="inlineStr">
        <is>
          <t>Calder Electrical Group</t>
        </is>
      </c>
      <c r="D117" s="9" t="n">
        <v>45935</v>
      </c>
      <c r="E117" s="9" t="n">
        <v>46299</v>
      </c>
      <c r="F117" s="4" t="n">
        <v>500000</v>
      </c>
      <c r="G117" s="9" t="n">
        <v>46071</v>
      </c>
      <c r="H117" s="9" t="n">
        <v>46075</v>
      </c>
      <c r="I117" s="4" t="inlineStr">
        <is>
          <t>Reopened</t>
        </is>
      </c>
      <c r="J117" s="4" t="inlineStr">
        <is>
          <t>GBP</t>
        </is>
      </c>
      <c r="K117" s="4" t="n">
        <v>54436.16</v>
      </c>
      <c r="L117" s="4" t="n">
        <v>45120.79</v>
      </c>
      <c r="M117" s="4" t="n">
        <v>99556.95</v>
      </c>
      <c r="N117" s="4" t="inlineStr">
        <is>
          <t>OK</t>
        </is>
      </c>
    </row>
    <row r="118">
      <c r="A118" s="4" t="inlineStr">
        <is>
          <t>CLM-100805</t>
        </is>
      </c>
      <c r="B118" s="4" t="inlineStr">
        <is>
          <t>4093013</t>
        </is>
      </c>
      <c r="C118" s="4" t="inlineStr">
        <is>
          <t>Oakham Electrical LLP</t>
        </is>
      </c>
      <c r="D118" s="9" t="n">
        <v>45883</v>
      </c>
      <c r="E118" s="9" t="n">
        <v>46247</v>
      </c>
      <c r="F118" s="4" t="n">
        <v>1000000</v>
      </c>
      <c r="G118" s="9" t="n">
        <v>45959</v>
      </c>
      <c r="H118" s="9" t="n">
        <v>45978</v>
      </c>
      <c r="I118" s="4" t="inlineStr">
        <is>
          <t>Open</t>
        </is>
      </c>
      <c r="J118" s="4" t="inlineStr">
        <is>
          <t>GBP</t>
        </is>
      </c>
      <c r="K118" s="4" t="n">
        <v>19187.59</v>
      </c>
      <c r="L118" s="4" t="n">
        <v>8483.690000000001</v>
      </c>
      <c r="M118" s="4" t="n">
        <v>27671.28</v>
      </c>
      <c r="N118" s="4" t="inlineStr">
        <is>
          <t>OK</t>
        </is>
      </c>
    </row>
    <row r="119">
      <c r="A119" s="4" t="inlineStr">
        <is>
          <t>CLM-100812</t>
        </is>
      </c>
      <c r="B119" s="4" t="inlineStr">
        <is>
          <t>4731406</t>
        </is>
      </c>
      <c r="C119" s="4" t="inlineStr">
        <is>
          <t>Thornbury Foods Limited</t>
        </is>
      </c>
      <c r="D119" s="9" t="n">
        <v>45767</v>
      </c>
      <c r="E119" s="9" t="n">
        <v>46131</v>
      </c>
      <c r="F119" s="4" t="n">
        <v>100000</v>
      </c>
      <c r="G119" s="9" t="n">
        <v>45999</v>
      </c>
      <c r="H119" s="9" t="n">
        <v>46010</v>
      </c>
      <c r="I119" s="4" t="inlineStr">
        <is>
          <t>Open</t>
        </is>
      </c>
      <c r="J119" s="4" t="inlineStr">
        <is>
          <t>GBP</t>
        </is>
      </c>
      <c r="K119" s="4" t="n">
        <v>11929.92</v>
      </c>
      <c r="L119" s="4" t="n">
        <v>25872.73</v>
      </c>
      <c r="M119" s="4" t="n">
        <v>37802.65</v>
      </c>
      <c r="N119" s="4" t="inlineStr">
        <is>
          <t>OK</t>
        </is>
      </c>
    </row>
    <row r="120">
      <c r="A120" s="4" t="inlineStr">
        <is>
          <t>CLM-100819</t>
        </is>
      </c>
      <c r="B120" s="4" t="inlineStr">
        <is>
          <t>4446315</t>
        </is>
      </c>
      <c r="C120" s="4" t="inlineStr">
        <is>
          <t>Westbury Joinery Group</t>
        </is>
      </c>
      <c r="D120" s="9" t="n">
        <v>46018</v>
      </c>
      <c r="E120" s="9" t="n">
        <v>46382</v>
      </c>
      <c r="F120" s="4" t="n">
        <v>100000</v>
      </c>
      <c r="G120" s="9" t="n">
        <v>46162</v>
      </c>
      <c r="H120" s="9" t="n">
        <v>46202</v>
      </c>
      <c r="I120" s="4" t="inlineStr">
        <is>
          <t>Open</t>
        </is>
      </c>
      <c r="J120" s="4" t="inlineStr">
        <is>
          <t>USD</t>
        </is>
      </c>
      <c r="K120" s="4" t="n">
        <v>23053.94</v>
      </c>
      <c r="L120" s="4" t="n">
        <v>14702.79</v>
      </c>
      <c r="M120" s="4" t="n">
        <v>37756.73</v>
      </c>
      <c r="N120" s="4" t="inlineStr">
        <is>
          <t>OK</t>
        </is>
      </c>
    </row>
    <row r="121">
      <c r="A121" s="4" t="inlineStr">
        <is>
          <t>CLM-100826</t>
        </is>
      </c>
      <c r="B121" s="4" t="inlineStr">
        <is>
          <t>4678661</t>
        </is>
      </c>
      <c r="C121" s="4" t="inlineStr">
        <is>
          <t>Norland Florists plc</t>
        </is>
      </c>
      <c r="D121" s="9" t="n">
        <v>45892</v>
      </c>
      <c r="E121" s="9" t="n">
        <v>46256</v>
      </c>
      <c r="F121" s="4" t="n">
        <v>250000</v>
      </c>
      <c r="G121" s="9" t="n">
        <v>46175</v>
      </c>
      <c r="H121" s="9" t="n">
        <v>46196</v>
      </c>
      <c r="I121" s="4" t="inlineStr">
        <is>
          <t>Open</t>
        </is>
      </c>
      <c r="J121" s="4" t="inlineStr">
        <is>
          <t>EUR</t>
        </is>
      </c>
      <c r="K121" s="4" t="n">
        <v>49934.59</v>
      </c>
      <c r="L121" s="4" t="n">
        <v>19928.17</v>
      </c>
      <c r="M121" s="4" t="n">
        <v>69862.75999999999</v>
      </c>
      <c r="N121" s="4" t="inlineStr">
        <is>
          <t>OK</t>
        </is>
      </c>
    </row>
    <row r="122">
      <c r="A122" s="4" t="inlineStr">
        <is>
          <t>CLM-100833</t>
        </is>
      </c>
      <c r="B122" s="4" t="inlineStr">
        <is>
          <t>4187482</t>
        </is>
      </c>
      <c r="C122" s="4" t="inlineStr">
        <is>
          <t>Northcote Electrical LLP</t>
        </is>
      </c>
      <c r="D122" s="9" t="n">
        <v>45759</v>
      </c>
      <c r="E122" s="9" t="n">
        <v>46123</v>
      </c>
      <c r="F122" s="4" t="n">
        <v>250000</v>
      </c>
      <c r="G122" s="9" t="n">
        <v>45960</v>
      </c>
      <c r="H122" s="9" t="n">
        <v>45978</v>
      </c>
      <c r="I122" s="4" t="inlineStr">
        <is>
          <t>Open</t>
        </is>
      </c>
      <c r="J122" s="4" t="inlineStr">
        <is>
          <t>GBP</t>
        </is>
      </c>
      <c r="K122" s="4" t="n">
        <v>25597.56</v>
      </c>
      <c r="L122" s="4" t="n">
        <v>45754.06</v>
      </c>
      <c r="M122" s="4" t="n">
        <v>71351.62</v>
      </c>
      <c r="N122" s="4" t="inlineStr">
        <is>
          <t>OK</t>
        </is>
      </c>
    </row>
    <row r="123">
      <c r="A123" s="4" t="inlineStr">
        <is>
          <t>CLM-100840</t>
        </is>
      </c>
      <c r="B123" s="4" t="inlineStr">
        <is>
          <t>4377497</t>
        </is>
      </c>
      <c r="C123" s="4" t="inlineStr">
        <is>
          <t>Merrow Textiles LLP</t>
        </is>
      </c>
      <c r="D123" s="9" t="n">
        <v>45726</v>
      </c>
      <c r="E123" s="9" t="n">
        <v>46090</v>
      </c>
      <c r="F123" s="4" t="n">
        <v>100000</v>
      </c>
      <c r="G123" s="9" t="n">
        <v>45980</v>
      </c>
      <c r="H123" s="9" t="n">
        <v>46001</v>
      </c>
      <c r="I123" s="4" t="inlineStr">
        <is>
          <t>Open</t>
        </is>
      </c>
      <c r="J123" s="4" t="inlineStr">
        <is>
          <t>EUR</t>
        </is>
      </c>
      <c r="K123" s="4" t="n">
        <v>4397.67</v>
      </c>
      <c r="L123" s="4" t="n">
        <v>23479.81</v>
      </c>
      <c r="M123" s="4" t="n">
        <v>27877.48</v>
      </c>
      <c r="N123" s="4" t="inlineStr">
        <is>
          <t>OK</t>
        </is>
      </c>
    </row>
    <row r="124">
      <c r="A124" s="4" t="inlineStr">
        <is>
          <t>CLM-100847</t>
        </is>
      </c>
      <c r="B124" s="4" t="inlineStr">
        <is>
          <t>4841237</t>
        </is>
      </c>
      <c r="C124" s="4" t="inlineStr">
        <is>
          <t>Oakham Motors Ltd</t>
        </is>
      </c>
      <c r="D124" s="9" t="n">
        <v>45758</v>
      </c>
      <c r="E124" s="9" t="n">
        <v>46122</v>
      </c>
      <c r="F124" s="4" t="n">
        <v>100000</v>
      </c>
      <c r="G124" s="9" t="n">
        <v>46080</v>
      </c>
      <c r="H124" s="9" t="n">
        <v>46097</v>
      </c>
      <c r="I124" s="4" t="inlineStr">
        <is>
          <t>Open</t>
        </is>
      </c>
      <c r="J124" s="4" t="inlineStr">
        <is>
          <t>GBP</t>
        </is>
      </c>
      <c r="K124" s="4" t="n">
        <v>38923.26</v>
      </c>
      <c r="L124" s="4" t="n">
        <v>25488.28</v>
      </c>
      <c r="M124" s="4" t="n">
        <v>64411.54</v>
      </c>
      <c r="N124" s="4" t="inlineStr">
        <is>
          <t>OK</t>
        </is>
      </c>
    </row>
    <row r="125">
      <c r="A125" s="4" t="inlineStr">
        <is>
          <t>CLM-100854</t>
        </is>
      </c>
      <c r="B125" s="4" t="inlineStr">
        <is>
          <t>4116425</t>
        </is>
      </c>
      <c r="C125" s="4" t="inlineStr">
        <is>
          <t>Kestrel Builders Holdings</t>
        </is>
      </c>
      <c r="D125" s="9" t="n">
        <v>45765</v>
      </c>
      <c r="E125" s="9" t="n">
        <v>46129</v>
      </c>
      <c r="F125" s="4" t="n">
        <v>250000</v>
      </c>
      <c r="G125" s="9" t="n">
        <v>45863</v>
      </c>
      <c r="H125" s="9" t="n">
        <v>45892</v>
      </c>
      <c r="I125" s="4" t="inlineStr">
        <is>
          <t>Closed</t>
        </is>
      </c>
      <c r="J125" s="4" t="inlineStr">
        <is>
          <t>GBP</t>
        </is>
      </c>
      <c r="K125" s="4" t="n">
        <v>56307.99</v>
      </c>
      <c r="L125" s="4" t="n">
        <v>0</v>
      </c>
      <c r="M125" s="4" t="n">
        <v>56307.99</v>
      </c>
      <c r="N125" s="4" t="inlineStr">
        <is>
          <t>OK</t>
        </is>
      </c>
    </row>
    <row r="126">
      <c r="A126" s="4" t="inlineStr">
        <is>
          <t>CLM-100861</t>
        </is>
      </c>
      <c r="B126" s="4" t="inlineStr">
        <is>
          <t>4647728</t>
        </is>
      </c>
      <c r="C126" s="4" t="inlineStr">
        <is>
          <t>Oakham Foods &amp; Sons</t>
        </is>
      </c>
      <c r="D126" s="9" t="n">
        <v>45827</v>
      </c>
      <c r="E126" s="9" t="n">
        <v>46191</v>
      </c>
      <c r="F126" s="4" t="n">
        <v>250000</v>
      </c>
      <c r="G126" s="9" t="n">
        <v>45976</v>
      </c>
      <c r="H126" s="9" t="n">
        <v>45997</v>
      </c>
      <c r="I126" s="4" t="inlineStr">
        <is>
          <t>Open</t>
        </is>
      </c>
      <c r="J126" s="4" t="inlineStr">
        <is>
          <t>GBP</t>
        </is>
      </c>
      <c r="K126" s="4" t="n">
        <v>34734.92</v>
      </c>
      <c r="L126" s="4" t="n">
        <v>40623.53</v>
      </c>
      <c r="M126" s="4" t="n">
        <v>75358.45</v>
      </c>
      <c r="N126" s="4" t="inlineStr">
        <is>
          <t>OK</t>
        </is>
      </c>
    </row>
    <row r="127">
      <c r="A127" s="4" t="inlineStr">
        <is>
          <t>CLM-100868</t>
        </is>
      </c>
      <c r="B127" s="4" t="inlineStr">
        <is>
          <t>4536276</t>
        </is>
      </c>
      <c r="C127" s="4" t="inlineStr">
        <is>
          <t>Yarrow Joinery plc</t>
        </is>
      </c>
      <c r="D127" s="9" t="n">
        <v>45847</v>
      </c>
      <c r="E127" s="9" t="n">
        <v>46211</v>
      </c>
      <c r="F127" s="4" t="n">
        <v>100000</v>
      </c>
      <c r="G127" s="9" t="n">
        <v>46066</v>
      </c>
      <c r="H127" s="9" t="n">
        <v>46086</v>
      </c>
      <c r="I127" s="4" t="inlineStr">
        <is>
          <t>Closed</t>
        </is>
      </c>
      <c r="J127" s="4" t="inlineStr">
        <is>
          <t>GBP</t>
        </is>
      </c>
      <c r="K127" s="4" t="n">
        <v>40206.94</v>
      </c>
      <c r="L127" s="4" t="n">
        <v>0</v>
      </c>
      <c r="M127" s="4" t="n">
        <v>40206.94</v>
      </c>
      <c r="N127" s="4" t="inlineStr">
        <is>
          <t>OK</t>
        </is>
      </c>
    </row>
    <row r="128">
      <c r="A128" s="4" t="inlineStr">
        <is>
          <t>CLM-100875</t>
        </is>
      </c>
      <c r="B128" s="4" t="inlineStr">
        <is>
          <t>4260368</t>
        </is>
      </c>
      <c r="C128" s="4" t="inlineStr">
        <is>
          <t>Ashby Foods Group</t>
        </is>
      </c>
      <c r="D128" s="9" t="n">
        <v>45876</v>
      </c>
      <c r="E128" s="9" t="n">
        <v>46240</v>
      </c>
      <c r="F128" s="4" t="n">
        <v>100000</v>
      </c>
      <c r="G128" s="9" t="n">
        <v>45894</v>
      </c>
      <c r="H128" s="9" t="n">
        <v>45912</v>
      </c>
      <c r="I128" s="4" t="inlineStr">
        <is>
          <t>Open</t>
        </is>
      </c>
      <c r="J128" s="4" t="inlineStr">
        <is>
          <t>EUR</t>
        </is>
      </c>
      <c r="K128" s="4" t="n">
        <v>26421.68</v>
      </c>
      <c r="L128" s="4" t="n">
        <v>42323.01</v>
      </c>
      <c r="M128" s="4" t="n">
        <v>68744.69</v>
      </c>
      <c r="N128" s="4" t="inlineStr">
        <is>
          <t>OK</t>
        </is>
      </c>
    </row>
    <row r="129">
      <c r="A129" s="4" t="inlineStr">
        <is>
          <t>CLM-100882</t>
        </is>
      </c>
      <c r="B129" s="4" t="inlineStr">
        <is>
          <t>4207932</t>
        </is>
      </c>
      <c r="C129" s="4" t="inlineStr">
        <is>
          <t>Rathmore Foods Limited</t>
        </is>
      </c>
      <c r="D129" s="9" t="n">
        <v>45999</v>
      </c>
      <c r="E129" s="9" t="n">
        <v>46363</v>
      </c>
      <c r="F129" s="4" t="n">
        <v>250000</v>
      </c>
      <c r="G129" s="9" t="n">
        <v>46124</v>
      </c>
      <c r="H129" s="9" t="n">
        <v>46159</v>
      </c>
      <c r="I129" s="4" t="inlineStr">
        <is>
          <t>Open</t>
        </is>
      </c>
      <c r="J129" s="4" t="inlineStr">
        <is>
          <t>GBP</t>
        </is>
      </c>
      <c r="K129" s="4" t="n">
        <v>20998.72</v>
      </c>
      <c r="L129" s="4" t="n">
        <v>30169.04</v>
      </c>
      <c r="M129" s="4" t="n">
        <v>51167.76</v>
      </c>
      <c r="N129" s="4" t="inlineStr">
        <is>
          <t>OK</t>
        </is>
      </c>
    </row>
    <row r="130">
      <c r="A130" s="4" t="inlineStr">
        <is>
          <t>CLM-100889</t>
        </is>
      </c>
      <c r="B130" s="4" t="inlineStr">
        <is>
          <t>4789155</t>
        </is>
      </c>
      <c r="C130" s="4" t="inlineStr">
        <is>
          <t>Ardmore Textiles plc</t>
        </is>
      </c>
      <c r="D130" s="9" t="n">
        <v>45660</v>
      </c>
      <c r="E130" s="9" t="n">
        <v>46024</v>
      </c>
      <c r="F130" s="4" t="n">
        <v>250000</v>
      </c>
      <c r="G130" s="9" t="n">
        <v>45849</v>
      </c>
      <c r="H130" s="9" t="n">
        <v>45882</v>
      </c>
      <c r="I130" s="4" t="inlineStr">
        <is>
          <t>Open</t>
        </is>
      </c>
      <c r="J130" s="4" t="inlineStr">
        <is>
          <t>EUR</t>
        </is>
      </c>
      <c r="K130" s="4" t="n">
        <v>9568.540000000001</v>
      </c>
      <c r="L130" s="4" t="n">
        <v>37424.37</v>
      </c>
      <c r="M130" s="4" t="n">
        <v>46992.91</v>
      </c>
      <c r="N130" s="4" t="inlineStr">
        <is>
          <t>OK</t>
        </is>
      </c>
    </row>
    <row r="131">
      <c r="A131" s="4" t="inlineStr">
        <is>
          <t>CLM-100896</t>
        </is>
      </c>
      <c r="B131" s="4" t="inlineStr">
        <is>
          <t>4434874</t>
        </is>
      </c>
      <c r="C131" s="4" t="inlineStr">
        <is>
          <t>Vale Pharmacy Group</t>
        </is>
      </c>
      <c r="D131" s="9" t="n">
        <v>46001</v>
      </c>
      <c r="E131" s="9" t="n">
        <v>46365</v>
      </c>
      <c r="F131" s="4" t="n">
        <v>250000</v>
      </c>
      <c r="G131" s="9" t="n">
        <v>46137</v>
      </c>
      <c r="H131" s="9" t="n">
        <v>46162</v>
      </c>
      <c r="I131" s="4" t="inlineStr">
        <is>
          <t>Reopened</t>
        </is>
      </c>
      <c r="J131" s="4" t="inlineStr">
        <is>
          <t>GBP</t>
        </is>
      </c>
      <c r="K131" s="4" t="n">
        <v>22058.14</v>
      </c>
      <c r="L131" s="4" t="n">
        <v>13543.69</v>
      </c>
      <c r="M131" s="4" t="n">
        <v>35601.83</v>
      </c>
      <c r="N131" s="4" t="inlineStr">
        <is>
          <t>OK</t>
        </is>
      </c>
    </row>
    <row r="132">
      <c r="A132" s="4" t="inlineStr">
        <is>
          <t>CLM-100903</t>
        </is>
      </c>
      <c r="B132" s="4" t="inlineStr">
        <is>
          <t>4328642</t>
        </is>
      </c>
      <c r="C132" s="4" t="inlineStr">
        <is>
          <t>Thornbury Engineering Holdings</t>
        </is>
      </c>
      <c r="D132" s="9" t="n">
        <v>45739</v>
      </c>
      <c r="E132" s="9" t="n">
        <v>46103</v>
      </c>
      <c r="F132" s="4" t="n">
        <v>100000</v>
      </c>
      <c r="G132" s="9" t="n">
        <v>46009</v>
      </c>
      <c r="H132" s="9" t="n">
        <v>46022</v>
      </c>
      <c r="I132" s="4" t="inlineStr">
        <is>
          <t>Closed</t>
        </is>
      </c>
      <c r="J132" s="4" t="inlineStr">
        <is>
          <t>EUR</t>
        </is>
      </c>
      <c r="K132" s="4" t="n">
        <v>16088.14</v>
      </c>
      <c r="L132" s="4" t="n">
        <v>0</v>
      </c>
      <c r="M132" s="4" t="n">
        <v>16088.14</v>
      </c>
      <c r="N132" s="4" t="inlineStr">
        <is>
          <t>OK</t>
        </is>
      </c>
    </row>
    <row r="133">
      <c r="A133" s="4" t="inlineStr">
        <is>
          <t>CLM-100910</t>
        </is>
      </c>
      <c r="B133" s="4" t="inlineStr">
        <is>
          <t>4547251</t>
        </is>
      </c>
      <c r="C133" s="4" t="inlineStr">
        <is>
          <t>Ballina Joinery Limited</t>
        </is>
      </c>
      <c r="D133" s="9" t="n">
        <v>45782</v>
      </c>
      <c r="E133" s="9" t="n">
        <v>46146</v>
      </c>
      <c r="F133" s="4" t="n">
        <v>500000</v>
      </c>
      <c r="G133" s="9" t="n">
        <v>46041</v>
      </c>
      <c r="H133" s="9" t="n">
        <v>46058</v>
      </c>
      <c r="I133" s="4" t="inlineStr">
        <is>
          <t>Closed</t>
        </is>
      </c>
      <c r="J133" s="4" t="inlineStr">
        <is>
          <t>GBP</t>
        </is>
      </c>
      <c r="K133" s="4" t="n">
        <v>40026.66</v>
      </c>
      <c r="L133" s="4" t="n">
        <v>0</v>
      </c>
      <c r="M133" s="4" t="n">
        <v>40026.66</v>
      </c>
      <c r="N133" s="4" t="inlineStr">
        <is>
          <t>OK</t>
        </is>
      </c>
    </row>
    <row r="134">
      <c r="A134" s="4" t="inlineStr">
        <is>
          <t>CLM-100917</t>
        </is>
      </c>
      <c r="B134" s="4" t="inlineStr">
        <is>
          <t>4660778</t>
        </is>
      </c>
      <c r="C134" s="4" t="inlineStr">
        <is>
          <t>Kilbride Textiles Holdings</t>
        </is>
      </c>
      <c r="D134" s="9" t="n">
        <v>45880</v>
      </c>
      <c r="E134" s="9" t="n">
        <v>46244</v>
      </c>
      <c r="F134" s="4" t="n">
        <v>1000000</v>
      </c>
      <c r="G134" s="9" t="n">
        <v>46167</v>
      </c>
      <c r="H134" s="9" t="n">
        <v>46200</v>
      </c>
      <c r="I134" s="4" t="inlineStr">
        <is>
          <t>Open</t>
        </is>
      </c>
      <c r="J134" s="4" t="inlineStr">
        <is>
          <t>GBP</t>
        </is>
      </c>
      <c r="K134" s="4" t="n">
        <v>34984.12</v>
      </c>
      <c r="L134" s="4" t="n">
        <v>68923.71000000001</v>
      </c>
      <c r="M134" s="4" t="n">
        <v>103907.83</v>
      </c>
      <c r="N134" s="4" t="inlineStr">
        <is>
          <t>OK</t>
        </is>
      </c>
    </row>
    <row r="135">
      <c r="A135" s="4" t="inlineStr">
        <is>
          <t>CLM-100924</t>
        </is>
      </c>
      <c r="B135" s="4" t="inlineStr">
        <is>
          <t>4526798</t>
        </is>
      </c>
      <c r="C135" s="4" t="inlineStr">
        <is>
          <t>Fenwick Haulage Group</t>
        </is>
      </c>
      <c r="D135" s="9" t="n">
        <v>45723</v>
      </c>
      <c r="E135" s="9" t="n">
        <v>46087</v>
      </c>
      <c r="F135" s="4" t="n">
        <v>500000</v>
      </c>
      <c r="G135" s="9" t="n">
        <v>45798</v>
      </c>
      <c r="H135" s="9" t="n">
        <v>45828</v>
      </c>
      <c r="I135" s="4" t="inlineStr">
        <is>
          <t>Open</t>
        </is>
      </c>
      <c r="J135" s="4" t="inlineStr">
        <is>
          <t>GBP</t>
        </is>
      </c>
      <c r="K135" s="4" t="n">
        <v>44353.22</v>
      </c>
      <c r="L135" s="4" t="n">
        <v>8070.67</v>
      </c>
      <c r="M135" s="4" t="n">
        <v>52423.89</v>
      </c>
      <c r="N135" s="4" t="inlineStr">
        <is>
          <t>OK</t>
        </is>
      </c>
    </row>
    <row r="136">
      <c r="A136" s="4" t="inlineStr">
        <is>
          <t>CLM-100931</t>
        </is>
      </c>
      <c r="B136" s="4" t="inlineStr">
        <is>
          <t>4848625</t>
        </is>
      </c>
      <c r="C136" s="4" t="inlineStr">
        <is>
          <t>Juniper Farms Limited</t>
        </is>
      </c>
      <c r="D136" s="9" t="n">
        <v>45927</v>
      </c>
      <c r="E136" s="9" t="n">
        <v>46291</v>
      </c>
      <c r="F136" s="4" t="n">
        <v>100000</v>
      </c>
      <c r="G136" s="9" t="n">
        <v>46240</v>
      </c>
      <c r="H136" s="9" t="n">
        <v>46261</v>
      </c>
      <c r="I136" s="4" t="inlineStr">
        <is>
          <t>Open</t>
        </is>
      </c>
      <c r="J136" s="4" t="inlineStr">
        <is>
          <t>GBP</t>
        </is>
      </c>
      <c r="K136" s="4" t="n">
        <v>11431.11</v>
      </c>
      <c r="L136" s="4" t="n">
        <v>32661.28</v>
      </c>
      <c r="M136" s="4" t="n">
        <v>44092.39</v>
      </c>
      <c r="N136" s="4" t="inlineStr">
        <is>
          <t>OK</t>
        </is>
      </c>
    </row>
    <row r="137">
      <c r="A137" s="4" t="inlineStr">
        <is>
          <t>CLM-100938</t>
        </is>
      </c>
      <c r="B137" s="4" t="inlineStr">
        <is>
          <t>4675488</t>
        </is>
      </c>
      <c r="C137" s="4" t="inlineStr">
        <is>
          <t>Quarry Textiles Holdings</t>
        </is>
      </c>
      <c r="D137" s="9" t="n">
        <v>45884</v>
      </c>
      <c r="E137" s="9" t="n">
        <v>46248</v>
      </c>
      <c r="F137" s="4" t="n">
        <v>1000000</v>
      </c>
      <c r="G137" s="9" t="n">
        <v>46067</v>
      </c>
      <c r="H137" s="9" t="n">
        <v>46082</v>
      </c>
      <c r="I137" s="4" t="inlineStr">
        <is>
          <t>Closed</t>
        </is>
      </c>
      <c r="J137" s="4" t="inlineStr">
        <is>
          <t>GBP</t>
        </is>
      </c>
      <c r="K137" s="4" t="n">
        <v>44670.24</v>
      </c>
      <c r="L137" s="4" t="n">
        <v>0</v>
      </c>
      <c r="M137" s="4" t="n">
        <v>44670.24</v>
      </c>
      <c r="N137" s="4" t="inlineStr">
        <is>
          <t>OK</t>
        </is>
      </c>
    </row>
    <row r="138">
      <c r="A138" s="4" t="inlineStr">
        <is>
          <t>CLM-100945</t>
        </is>
      </c>
      <c r="B138" s="4" t="inlineStr">
        <is>
          <t>4436468</t>
        </is>
      </c>
      <c r="C138" s="4" t="inlineStr">
        <is>
          <t>Brennan Dental plc</t>
        </is>
      </c>
      <c r="D138" s="9" t="n">
        <v>45797</v>
      </c>
      <c r="E138" s="9" t="n">
        <v>46161</v>
      </c>
      <c r="F138" s="4" t="n">
        <v>1000000</v>
      </c>
      <c r="G138" s="9" t="n">
        <v>45846</v>
      </c>
      <c r="H138" s="9" t="n">
        <v>45872</v>
      </c>
      <c r="I138" s="4" t="inlineStr">
        <is>
          <t>Open</t>
        </is>
      </c>
      <c r="J138" s="4" t="inlineStr">
        <is>
          <t>EUR</t>
        </is>
      </c>
      <c r="K138" s="4" t="n">
        <v>53601.17</v>
      </c>
      <c r="L138" s="4" t="n">
        <v>18754.2</v>
      </c>
      <c r="M138" s="4" t="n">
        <v>72355.37</v>
      </c>
      <c r="N138" s="4" t="inlineStr">
        <is>
          <t>OK</t>
        </is>
      </c>
    </row>
    <row r="139">
      <c r="A139" s="4" t="inlineStr">
        <is>
          <t>CLM-100952</t>
        </is>
      </c>
      <c r="B139" s="4" t="inlineStr">
        <is>
          <t>4438293</t>
        </is>
      </c>
      <c r="C139" s="4" t="inlineStr">
        <is>
          <t>Pembroke Hotels Holdings</t>
        </is>
      </c>
      <c r="D139" s="9" t="n">
        <v>45952</v>
      </c>
      <c r="E139" s="9" t="n">
        <v>46316</v>
      </c>
      <c r="F139" s="4" t="n">
        <v>1000000</v>
      </c>
      <c r="G139" s="9" t="n">
        <v>45963</v>
      </c>
      <c r="H139" s="9" t="n">
        <v>45967</v>
      </c>
      <c r="I139" s="4" t="inlineStr">
        <is>
          <t>Open</t>
        </is>
      </c>
      <c r="J139" s="4" t="inlineStr">
        <is>
          <t>EUR</t>
        </is>
      </c>
      <c r="K139" s="4" t="n">
        <v>39635.33</v>
      </c>
      <c r="L139" s="4" t="n">
        <v>54622.01</v>
      </c>
      <c r="M139" s="4" t="n">
        <v>94257.34</v>
      </c>
      <c r="N139" s="4" t="inlineStr">
        <is>
          <t>OK</t>
        </is>
      </c>
    </row>
    <row r="140">
      <c r="A140" s="4" t="inlineStr">
        <is>
          <t>CLM-100959</t>
        </is>
      </c>
      <c r="B140" s="4" t="inlineStr">
        <is>
          <t>4053000</t>
        </is>
      </c>
      <c r="C140" s="4" t="inlineStr">
        <is>
          <t>Kilbride Motors Ltd</t>
        </is>
      </c>
      <c r="D140" s="9" t="n">
        <v>45769</v>
      </c>
      <c r="E140" s="9" t="n">
        <v>46133</v>
      </c>
      <c r="F140" s="4" t="n">
        <v>1000000</v>
      </c>
      <c r="G140" s="9" t="n">
        <v>46003</v>
      </c>
      <c r="H140" s="9" t="n">
        <v>46028</v>
      </c>
      <c r="I140" s="4" t="inlineStr">
        <is>
          <t>Open</t>
        </is>
      </c>
      <c r="J140" s="4" t="inlineStr">
        <is>
          <t>GBP</t>
        </is>
      </c>
      <c r="K140" s="4" t="n">
        <v>7364.2</v>
      </c>
      <c r="L140" s="4" t="n">
        <v>74314.62</v>
      </c>
      <c r="M140" s="4" t="n">
        <v>81678.82000000001</v>
      </c>
      <c r="N140" s="4" t="inlineStr">
        <is>
          <t>OK</t>
        </is>
      </c>
    </row>
    <row r="141">
      <c r="A141" s="4" t="inlineStr">
        <is>
          <t>CLM-100966</t>
        </is>
      </c>
      <c r="B141" s="4" t="inlineStr">
        <is>
          <t>4374349</t>
        </is>
      </c>
      <c r="C141" s="4" t="inlineStr">
        <is>
          <t>Ballina Marine Group</t>
        </is>
      </c>
      <c r="D141" s="9" t="n">
        <v>45789</v>
      </c>
      <c r="E141" s="9" t="n">
        <v>46153</v>
      </c>
      <c r="F141" s="4" t="n">
        <v>250000</v>
      </c>
      <c r="G141" s="9" t="n">
        <v>45949</v>
      </c>
      <c r="H141" s="9" t="n">
        <v>45972</v>
      </c>
      <c r="I141" s="4" t="inlineStr">
        <is>
          <t>Open</t>
        </is>
      </c>
      <c r="J141" s="4" t="inlineStr">
        <is>
          <t>GBP</t>
        </is>
      </c>
      <c r="K141" s="4" t="n">
        <v>51473.68</v>
      </c>
      <c r="L141" s="4" t="n">
        <v>4018.45</v>
      </c>
      <c r="M141" s="4" t="n">
        <v>55492.13</v>
      </c>
      <c r="N141" s="4" t="inlineStr">
        <is>
          <t>OK</t>
        </is>
      </c>
    </row>
    <row r="142">
      <c r="A142" s="4" t="inlineStr">
        <is>
          <t>CLM-100973</t>
        </is>
      </c>
      <c r="B142" s="4" t="inlineStr">
        <is>
          <t>4001683</t>
        </is>
      </c>
      <c r="C142" s="4" t="inlineStr">
        <is>
          <t>Thornbury Foods Group</t>
        </is>
      </c>
      <c r="D142" s="9" t="n">
        <v>45817</v>
      </c>
      <c r="E142" s="9" t="n">
        <v>46181</v>
      </c>
      <c r="F142" s="4" t="n">
        <v>250000</v>
      </c>
      <c r="G142" s="9" t="n">
        <v>45984</v>
      </c>
      <c r="H142" s="9" t="n">
        <v>46006</v>
      </c>
      <c r="I142" s="4" t="inlineStr">
        <is>
          <t>Open</t>
        </is>
      </c>
      <c r="J142" s="4" t="inlineStr">
        <is>
          <t>GBP</t>
        </is>
      </c>
      <c r="K142" s="4" t="n">
        <v>1321.9</v>
      </c>
      <c r="L142" s="4" t="n">
        <v>63416.41</v>
      </c>
      <c r="M142" s="4" t="n">
        <v>64738.31</v>
      </c>
      <c r="N142" s="4" t="inlineStr">
        <is>
          <t>OK</t>
        </is>
      </c>
    </row>
    <row r="143">
      <c r="A143" s="4" t="inlineStr">
        <is>
          <t>CLM-100980</t>
        </is>
      </c>
      <c r="B143" s="4" t="inlineStr">
        <is>
          <t>4269364</t>
        </is>
      </c>
      <c r="C143" s="4" t="inlineStr">
        <is>
          <t>Larkspur Marine Limited</t>
        </is>
      </c>
      <c r="D143" s="9" t="n">
        <v>45693</v>
      </c>
      <c r="E143" s="9" t="n">
        <v>46057</v>
      </c>
      <c r="F143" s="4" t="n">
        <v>250000</v>
      </c>
      <c r="G143" s="9" t="n">
        <v>45890</v>
      </c>
      <c r="H143" s="9" t="n">
        <v>45925</v>
      </c>
      <c r="I143" s="4" t="inlineStr">
        <is>
          <t>Open</t>
        </is>
      </c>
      <c r="J143" s="4" t="inlineStr">
        <is>
          <t>GBP</t>
        </is>
      </c>
      <c r="K143" s="4" t="n">
        <v>29957.42</v>
      </c>
      <c r="L143" s="4" t="n">
        <v>48060.32</v>
      </c>
      <c r="M143" s="4" t="n">
        <v>78017.74000000001</v>
      </c>
      <c r="N143" s="4" t="inlineStr">
        <is>
          <t>OK</t>
        </is>
      </c>
    </row>
    <row r="144">
      <c r="A144" s="4" t="inlineStr">
        <is>
          <t>CLM-100987</t>
        </is>
      </c>
      <c r="B144" s="4" t="inlineStr">
        <is>
          <t>4671065</t>
        </is>
      </c>
      <c r="C144" s="4" t="inlineStr">
        <is>
          <t>Upton Florists plc</t>
        </is>
      </c>
      <c r="D144" s="9" t="n">
        <v>45798</v>
      </c>
      <c r="E144" s="9" t="n">
        <v>46162</v>
      </c>
      <c r="F144" s="4" t="n">
        <v>1000000</v>
      </c>
      <c r="G144" s="9" t="n">
        <v>45940</v>
      </c>
      <c r="H144" s="9" t="n">
        <v>45944</v>
      </c>
      <c r="I144" s="4" t="inlineStr">
        <is>
          <t>Open</t>
        </is>
      </c>
      <c r="J144" s="4" t="inlineStr">
        <is>
          <t>EUR</t>
        </is>
      </c>
      <c r="K144" s="4" t="n">
        <v>42885.07</v>
      </c>
      <c r="L144" s="4" t="n">
        <v>1184.96</v>
      </c>
      <c r="M144" s="4" t="n">
        <v>44070.03</v>
      </c>
      <c r="N144" s="4" t="inlineStr">
        <is>
          <t>OK</t>
        </is>
      </c>
    </row>
    <row r="145">
      <c r="A145" s="4" t="inlineStr">
        <is>
          <t>CLM-100994</t>
        </is>
      </c>
      <c r="B145" s="4" t="inlineStr">
        <is>
          <t>4074710</t>
        </is>
      </c>
      <c r="C145" s="4" t="inlineStr">
        <is>
          <t>Pembroke Motors Limited</t>
        </is>
      </c>
      <c r="D145" s="9" t="n">
        <v>45801</v>
      </c>
      <c r="E145" s="9" t="n">
        <v>46165</v>
      </c>
      <c r="F145" s="4" t="n">
        <v>500000</v>
      </c>
      <c r="G145" s="9" t="n">
        <v>46015</v>
      </c>
      <c r="H145" s="9" t="n">
        <v>46025</v>
      </c>
      <c r="I145" s="4" t="inlineStr">
        <is>
          <t>Open</t>
        </is>
      </c>
      <c r="J145" s="4" t="inlineStr">
        <is>
          <t>GBP</t>
        </is>
      </c>
      <c r="K145" s="4" t="n">
        <v>47697.46</v>
      </c>
      <c r="L145" s="4" t="n">
        <v>68854.73</v>
      </c>
      <c r="M145" s="4" t="n">
        <v>116552.19</v>
      </c>
      <c r="N145" s="4" t="inlineStr">
        <is>
          <t>OK</t>
        </is>
      </c>
    </row>
    <row r="146">
      <c r="A146" s="4" t="inlineStr">
        <is>
          <t>CLM-101001</t>
        </is>
      </c>
      <c r="B146" s="4" t="inlineStr">
        <is>
          <t>4761567</t>
        </is>
      </c>
      <c r="C146" s="4" t="inlineStr">
        <is>
          <t>Merrow Logistics Holdings</t>
        </is>
      </c>
      <c r="D146" s="9" t="n">
        <v>46010</v>
      </c>
      <c r="E146" s="9" t="n">
        <v>46374</v>
      </c>
      <c r="F146" s="4" t="n">
        <v>250000</v>
      </c>
      <c r="G146" s="9" t="n">
        <v>46238</v>
      </c>
      <c r="H146" s="9" t="n">
        <v>46258</v>
      </c>
      <c r="I146" s="4" t="inlineStr">
        <is>
          <t>Open</t>
        </is>
      </c>
      <c r="J146" s="4" t="inlineStr">
        <is>
          <t>GBP</t>
        </is>
      </c>
      <c r="K146" s="4" t="n">
        <v>2231.04</v>
      </c>
      <c r="L146" s="4" t="n">
        <v>43817.5</v>
      </c>
      <c r="M146" s="4" t="n">
        <v>46048.54</v>
      </c>
      <c r="N146" s="4" t="inlineStr">
        <is>
          <t>OK</t>
        </is>
      </c>
    </row>
    <row r="147">
      <c r="A147" s="4" t="inlineStr">
        <is>
          <t>CLM-101008</t>
        </is>
      </c>
      <c r="B147" s="4" t="inlineStr">
        <is>
          <t>4661584</t>
        </is>
      </c>
      <c r="C147" s="4" t="inlineStr">
        <is>
          <t>Pembroke Bakery Ltd</t>
        </is>
      </c>
      <c r="D147" s="9" t="n">
        <v>45911</v>
      </c>
      <c r="E147" s="9" t="n">
        <v>46275</v>
      </c>
      <c r="F147" s="4" t="n">
        <v>100000</v>
      </c>
      <c r="G147" s="9" t="n">
        <v>45971</v>
      </c>
      <c r="H147" s="9" t="n">
        <v>45988</v>
      </c>
      <c r="I147" s="4" t="inlineStr">
        <is>
          <t>Open</t>
        </is>
      </c>
      <c r="J147" s="4" t="inlineStr">
        <is>
          <t>EUR</t>
        </is>
      </c>
      <c r="K147" s="4" t="n">
        <v>36432.76</v>
      </c>
      <c r="L147" s="4" t="n">
        <v>28282.68</v>
      </c>
      <c r="M147" s="4" t="n">
        <v>64715.44</v>
      </c>
      <c r="N147" s="4" t="inlineStr">
        <is>
          <t>OK</t>
        </is>
      </c>
    </row>
    <row r="148">
      <c r="A148" s="4" t="inlineStr">
        <is>
          <t>CLM-101015</t>
        </is>
      </c>
      <c r="B148" s="4" t="inlineStr">
        <is>
          <t>4849240</t>
        </is>
      </c>
      <c r="C148" s="4" t="inlineStr">
        <is>
          <t>Juniper Dental Ltd</t>
        </is>
      </c>
      <c r="D148" s="9" t="n">
        <v>45782</v>
      </c>
      <c r="E148" s="9" t="n">
        <v>46146</v>
      </c>
      <c r="F148" s="4" t="n">
        <v>1000000</v>
      </c>
      <c r="G148" s="9" t="n">
        <v>46069</v>
      </c>
      <c r="H148" s="9" t="n">
        <v>46105</v>
      </c>
      <c r="I148" s="4" t="inlineStr">
        <is>
          <t>Open</t>
        </is>
      </c>
      <c r="J148" s="4" t="inlineStr">
        <is>
          <t>USD</t>
        </is>
      </c>
      <c r="K148" s="4" t="n">
        <v>15079.84</v>
      </c>
      <c r="L148" s="4" t="n">
        <v>38055.69</v>
      </c>
      <c r="M148" s="4" t="n">
        <v>53135.53</v>
      </c>
      <c r="N148" s="4" t="inlineStr">
        <is>
          <t>OK</t>
        </is>
      </c>
    </row>
    <row r="149">
      <c r="A149" s="4" t="inlineStr">
        <is>
          <t>CLM-101022</t>
        </is>
      </c>
      <c r="B149" s="4" t="inlineStr">
        <is>
          <t>4057256</t>
        </is>
      </c>
      <c r="C149" s="4" t="inlineStr">
        <is>
          <t>Vale Dental Group</t>
        </is>
      </c>
      <c r="D149" s="9" t="n">
        <v>45850</v>
      </c>
      <c r="E149" s="9" t="n">
        <v>46214</v>
      </c>
      <c r="F149" s="4" t="n">
        <v>250000</v>
      </c>
      <c r="G149" s="9" t="n">
        <v>46094</v>
      </c>
      <c r="H149" s="9" t="n">
        <v>46130</v>
      </c>
      <c r="I149" s="4" t="inlineStr">
        <is>
          <t>Open</t>
        </is>
      </c>
      <c r="J149" s="4" t="inlineStr">
        <is>
          <t>USD</t>
        </is>
      </c>
      <c r="K149" s="4" t="n">
        <v>20179.33</v>
      </c>
      <c r="L149" s="4" t="n">
        <v>40130.85</v>
      </c>
      <c r="M149" s="4" t="n">
        <v>60310.18</v>
      </c>
      <c r="N149" s="4" t="inlineStr">
        <is>
          <t>OK</t>
        </is>
      </c>
    </row>
    <row r="150">
      <c r="A150" s="4" t="inlineStr">
        <is>
          <t>CLM-101029</t>
        </is>
      </c>
      <c r="B150" s="4" t="inlineStr">
        <is>
          <t>4465421</t>
        </is>
      </c>
      <c r="C150" s="4" t="inlineStr">
        <is>
          <t>Fenwick Marine plc</t>
        </is>
      </c>
      <c r="D150" s="9" t="n">
        <v>45839</v>
      </c>
      <c r="E150" s="9" t="n">
        <v>46203</v>
      </c>
      <c r="F150" s="4" t="n">
        <v>250000</v>
      </c>
      <c r="G150" s="9" t="n">
        <v>46060</v>
      </c>
      <c r="H150" s="9" t="n">
        <v>46088</v>
      </c>
      <c r="I150" s="4" t="inlineStr">
        <is>
          <t>Open</t>
        </is>
      </c>
      <c r="J150" s="4" t="inlineStr">
        <is>
          <t>GBP</t>
        </is>
      </c>
      <c r="K150" s="4" t="n">
        <v>35096.64</v>
      </c>
      <c r="L150" s="4" t="n">
        <v>45009.67</v>
      </c>
      <c r="M150" s="4" t="n">
        <v>80106.31</v>
      </c>
      <c r="N150" s="4" t="inlineStr">
        <is>
          <t>OK</t>
        </is>
      </c>
    </row>
    <row r="151">
      <c r="A151" s="4" t="inlineStr">
        <is>
          <t>CLM-101036</t>
        </is>
      </c>
      <c r="B151" s="4" t="inlineStr">
        <is>
          <t>4874176</t>
        </is>
      </c>
      <c r="C151" s="4" t="inlineStr">
        <is>
          <t>Norland Farms plc</t>
        </is>
      </c>
      <c r="D151" s="9" t="n">
        <v>45810</v>
      </c>
      <c r="E151" s="9" t="n">
        <v>46174</v>
      </c>
      <c r="F151" s="4" t="n">
        <v>500000</v>
      </c>
      <c r="G151" s="9" t="n">
        <v>45890</v>
      </c>
      <c r="H151" s="9" t="n">
        <v>45893</v>
      </c>
      <c r="I151" s="4" t="inlineStr">
        <is>
          <t>Closed</t>
        </is>
      </c>
      <c r="J151" s="4" t="inlineStr">
        <is>
          <t>USD</t>
        </is>
      </c>
      <c r="K151" s="4" t="n">
        <v>28594.5</v>
      </c>
      <c r="L151" s="4" t="n">
        <v>0</v>
      </c>
      <c r="M151" s="4" t="n">
        <v>28594.5</v>
      </c>
      <c r="N151" s="4" t="inlineStr">
        <is>
          <t>OK</t>
        </is>
      </c>
    </row>
    <row r="152">
      <c r="A152" s="4" t="inlineStr">
        <is>
          <t>CLM-101043</t>
        </is>
      </c>
      <c r="B152" s="4" t="inlineStr">
        <is>
          <t>4553494</t>
        </is>
      </c>
      <c r="C152" s="4" t="inlineStr">
        <is>
          <t>Inglewood Garages &amp; Sons</t>
        </is>
      </c>
      <c r="D152" s="9" t="n">
        <v>45971</v>
      </c>
      <c r="E152" s="9" t="n">
        <v>46335</v>
      </c>
      <c r="F152" s="4" t="n">
        <v>250000</v>
      </c>
      <c r="G152" s="9" t="n">
        <v>46190</v>
      </c>
      <c r="H152" s="9" t="n">
        <v>46213</v>
      </c>
      <c r="I152" s="4" t="inlineStr">
        <is>
          <t>Open</t>
        </is>
      </c>
      <c r="J152" s="4" t="inlineStr">
        <is>
          <t>GBP</t>
        </is>
      </c>
      <c r="K152" s="4" t="n">
        <v>19163.47</v>
      </c>
      <c r="L152" s="4" t="n">
        <v>20143.03</v>
      </c>
      <c r="M152" s="4" t="n">
        <v>39306.5</v>
      </c>
      <c r="N152" s="4" t="inlineStr">
        <is>
          <t>OK</t>
        </is>
      </c>
    </row>
    <row r="153">
      <c r="A153" s="4" t="inlineStr">
        <is>
          <t>CLM-101050</t>
        </is>
      </c>
      <c r="B153" s="4" t="inlineStr">
        <is>
          <t>4430717</t>
        </is>
      </c>
      <c r="C153" s="4" t="inlineStr">
        <is>
          <t>Calder Hotels Ltd</t>
        </is>
      </c>
      <c r="D153" s="9" t="n">
        <v>45950</v>
      </c>
      <c r="E153" s="9" t="n">
        <v>46314</v>
      </c>
      <c r="F153" s="4" t="n">
        <v>100000</v>
      </c>
      <c r="G153" s="9" t="n">
        <v>46157</v>
      </c>
      <c r="H153" s="9" t="n">
        <v>46191</v>
      </c>
      <c r="I153" s="4" t="inlineStr">
        <is>
          <t>Open</t>
        </is>
      </c>
      <c r="J153" s="4" t="inlineStr">
        <is>
          <t>GBP</t>
        </is>
      </c>
      <c r="K153" s="4" t="n">
        <v>25753.05</v>
      </c>
      <c r="L153" s="4" t="n">
        <v>39192.88</v>
      </c>
      <c r="M153" s="4" t="n">
        <v>64945.93</v>
      </c>
      <c r="N153" s="4" t="inlineStr">
        <is>
          <t>OK</t>
        </is>
      </c>
    </row>
    <row r="154">
      <c r="A154" s="4" t="inlineStr">
        <is>
          <t>CLM-101057</t>
        </is>
      </c>
      <c r="B154" s="4" t="inlineStr">
        <is>
          <t>4186297</t>
        </is>
      </c>
      <c r="C154" s="4" t="inlineStr">
        <is>
          <t>Ellery Pharmacy plc</t>
        </is>
      </c>
      <c r="D154" s="9" t="n">
        <v>45827</v>
      </c>
      <c r="E154" s="9" t="n">
        <v>46191</v>
      </c>
      <c r="F154" s="4" t="n">
        <v>1000000</v>
      </c>
      <c r="G154" s="9" t="n">
        <v>45898</v>
      </c>
      <c r="H154" s="9" t="n">
        <v>45919</v>
      </c>
      <c r="I154" s="4" t="inlineStr">
        <is>
          <t>Open</t>
        </is>
      </c>
      <c r="J154" s="4" t="inlineStr">
        <is>
          <t>GBP</t>
        </is>
      </c>
      <c r="K154" s="4" t="n">
        <v>10321.68</v>
      </c>
      <c r="L154" s="4" t="n">
        <v>28424.59</v>
      </c>
      <c r="M154" s="4" t="n">
        <v>38746.27</v>
      </c>
      <c r="N154" s="4" t="inlineStr">
        <is>
          <t>OK</t>
        </is>
      </c>
    </row>
    <row r="155">
      <c r="A155" s="4" t="inlineStr">
        <is>
          <t>CLM-101064</t>
        </is>
      </c>
      <c r="B155" s="4" t="inlineStr">
        <is>
          <t>4607008</t>
        </is>
      </c>
      <c r="C155" s="4" t="inlineStr">
        <is>
          <t>Yarrow Logistics LLP</t>
        </is>
      </c>
      <c r="D155" s="9" t="n">
        <v>45831</v>
      </c>
      <c r="E155" s="9" t="n">
        <v>46195</v>
      </c>
      <c r="F155" s="4" t="n">
        <v>250000</v>
      </c>
      <c r="G155" s="9" t="n">
        <v>45962</v>
      </c>
      <c r="H155" s="9" t="n">
        <v>45987</v>
      </c>
      <c r="I155" s="4" t="inlineStr">
        <is>
          <t>Open</t>
        </is>
      </c>
      <c r="J155" s="4" t="inlineStr">
        <is>
          <t>USD</t>
        </is>
      </c>
      <c r="K155" s="4" t="n">
        <v>57850.1</v>
      </c>
      <c r="L155" s="4" t="n">
        <v>52895.63</v>
      </c>
      <c r="M155" s="4" t="n">
        <v>110745.73</v>
      </c>
      <c r="N155" s="4" t="inlineStr">
        <is>
          <t>OK</t>
        </is>
      </c>
    </row>
    <row r="156">
      <c r="A156" s="4" t="inlineStr">
        <is>
          <t>CLM-101071</t>
        </is>
      </c>
      <c r="B156" s="4" t="inlineStr">
        <is>
          <t>4495560</t>
        </is>
      </c>
      <c r="C156" s="4" t="inlineStr">
        <is>
          <t>Norland Print Group</t>
        </is>
      </c>
      <c r="D156" s="9" t="n">
        <v>46011</v>
      </c>
      <c r="E156" s="9" t="n">
        <v>46375</v>
      </c>
      <c r="F156" s="4" t="n">
        <v>250000</v>
      </c>
      <c r="G156" s="9" t="n">
        <v>46285</v>
      </c>
      <c r="H156" s="9" t="n">
        <v>46295</v>
      </c>
      <c r="I156" s="4" t="inlineStr">
        <is>
          <t>Open</t>
        </is>
      </c>
      <c r="J156" s="4" t="inlineStr">
        <is>
          <t>EUR</t>
        </is>
      </c>
      <c r="K156" s="4" t="n">
        <v>38021.42</v>
      </c>
      <c r="L156" s="4" t="n">
        <v>39303.35</v>
      </c>
      <c r="M156" s="4" t="n">
        <v>77324.77</v>
      </c>
      <c r="N156" s="4" t="inlineStr">
        <is>
          <t>OK</t>
        </is>
      </c>
    </row>
    <row r="157">
      <c r="A157" s="4" t="inlineStr">
        <is>
          <t>CLM-101078</t>
        </is>
      </c>
      <c r="B157" s="4" t="inlineStr">
        <is>
          <t>4223766</t>
        </is>
      </c>
      <c r="C157" s="4" t="inlineStr">
        <is>
          <t>Dunmore Garages plc</t>
        </is>
      </c>
      <c r="D157" s="9" t="n">
        <v>45913</v>
      </c>
      <c r="E157" s="9" t="n">
        <v>46277</v>
      </c>
      <c r="F157" s="4" t="n">
        <v>250000</v>
      </c>
      <c r="G157" s="9" t="n">
        <v>45939</v>
      </c>
      <c r="H157" s="9" t="n">
        <v>45979</v>
      </c>
      <c r="I157" s="4" t="inlineStr">
        <is>
          <t>Open</t>
        </is>
      </c>
      <c r="J157" s="4" t="inlineStr">
        <is>
          <t>EUR</t>
        </is>
      </c>
      <c r="K157" s="4" t="n">
        <v>10340.03</v>
      </c>
      <c r="L157" s="4" t="n">
        <v>14394.3</v>
      </c>
      <c r="M157" s="4" t="n">
        <v>24734.33</v>
      </c>
      <c r="N157" s="4" t="inlineStr">
        <is>
          <t>OK</t>
        </is>
      </c>
    </row>
    <row r="158">
      <c r="A158" s="4" t="inlineStr">
        <is>
          <t>CLM-101085</t>
        </is>
      </c>
      <c r="B158" s="4" t="inlineStr">
        <is>
          <t>4109146</t>
        </is>
      </c>
      <c r="C158" s="4" t="inlineStr">
        <is>
          <t>Thornbury Logistics LLP</t>
        </is>
      </c>
      <c r="D158" s="9" t="n">
        <v>45719</v>
      </c>
      <c r="E158" s="9" t="n">
        <v>46083</v>
      </c>
      <c r="F158" s="4" t="n">
        <v>1000000</v>
      </c>
      <c r="G158" s="9" t="n">
        <v>45837</v>
      </c>
      <c r="H158" s="9" t="n">
        <v>45853</v>
      </c>
      <c r="I158" s="4" t="inlineStr">
        <is>
          <t>Open</t>
        </is>
      </c>
      <c r="J158" s="4" t="inlineStr">
        <is>
          <t>EUR</t>
        </is>
      </c>
      <c r="K158" s="4" t="n">
        <v>2587.05</v>
      </c>
      <c r="L158" s="4" t="n">
        <v>49782.35</v>
      </c>
      <c r="M158" s="4" t="n">
        <v>52369.4</v>
      </c>
      <c r="N158" s="4" t="inlineStr">
        <is>
          <t>OK</t>
        </is>
      </c>
    </row>
    <row r="159">
      <c r="A159" s="4" t="inlineStr">
        <is>
          <t>CLM-101092</t>
        </is>
      </c>
      <c r="B159" s="4" t="inlineStr">
        <is>
          <t>4567894</t>
        </is>
      </c>
      <c r="C159" s="4" t="inlineStr">
        <is>
          <t>Oakham Freight Group</t>
        </is>
      </c>
      <c r="D159" s="9" t="n">
        <v>45781</v>
      </c>
      <c r="E159" s="9" t="n">
        <v>46145</v>
      </c>
      <c r="F159" s="4" t="n">
        <v>100000</v>
      </c>
      <c r="G159" s="9" t="n">
        <v>45899</v>
      </c>
      <c r="H159" s="9" t="n">
        <v>45922</v>
      </c>
      <c r="I159" s="4" t="inlineStr">
        <is>
          <t>Open</t>
        </is>
      </c>
      <c r="J159" s="4" t="inlineStr">
        <is>
          <t>GBP</t>
        </is>
      </c>
      <c r="K159" s="4" t="n">
        <v>1520.27</v>
      </c>
      <c r="L159" s="4" t="n">
        <v>30518.51</v>
      </c>
      <c r="M159" s="4" t="n">
        <v>32038.78</v>
      </c>
      <c r="N159" s="4" t="inlineStr">
        <is>
          <t>OK</t>
        </is>
      </c>
    </row>
    <row r="160">
      <c r="A160" s="4" t="inlineStr">
        <is>
          <t>CLM-101099</t>
        </is>
      </c>
      <c r="B160" s="4" t="inlineStr">
        <is>
          <t>4175363</t>
        </is>
      </c>
      <c r="C160" s="4" t="inlineStr">
        <is>
          <t>Rathmore Joinery LLP</t>
        </is>
      </c>
      <c r="D160" s="9" t="n">
        <v>45931</v>
      </c>
      <c r="E160" s="9" t="n">
        <v>46295</v>
      </c>
      <c r="F160" s="4" t="n">
        <v>100000</v>
      </c>
      <c r="G160" s="9" t="n">
        <v>46066</v>
      </c>
      <c r="H160" s="9" t="n">
        <v>46100</v>
      </c>
      <c r="I160" s="4" t="inlineStr">
        <is>
          <t>Open</t>
        </is>
      </c>
      <c r="J160" s="4" t="inlineStr">
        <is>
          <t>USD</t>
        </is>
      </c>
      <c r="K160" s="4" t="n">
        <v>9525.299999999999</v>
      </c>
      <c r="L160" s="4" t="n">
        <v>5170.41</v>
      </c>
      <c r="M160" s="4" t="n">
        <v>14695.71</v>
      </c>
      <c r="N160" s="4" t="inlineStr">
        <is>
          <t>OK</t>
        </is>
      </c>
    </row>
    <row r="161">
      <c r="A161" s="4" t="inlineStr">
        <is>
          <t>CLM-101106</t>
        </is>
      </c>
      <c r="B161" s="4" t="inlineStr">
        <is>
          <t>4812822</t>
        </is>
      </c>
      <c r="C161" s="4" t="inlineStr">
        <is>
          <t>Juniper Bakery Group</t>
        </is>
      </c>
      <c r="D161" s="9" t="n">
        <v>45775</v>
      </c>
      <c r="E161" s="9" t="n">
        <v>46139</v>
      </c>
      <c r="F161" s="4" t="n">
        <v>500000</v>
      </c>
      <c r="G161" s="9" t="n">
        <v>45814</v>
      </c>
      <c r="H161" s="9" t="n">
        <v>45847</v>
      </c>
      <c r="I161" s="4" t="inlineStr">
        <is>
          <t>Reopened</t>
        </is>
      </c>
      <c r="J161" s="4" t="inlineStr">
        <is>
          <t>EUR</t>
        </is>
      </c>
      <c r="K161" s="4" t="n">
        <v>3270.7</v>
      </c>
      <c r="L161" s="4" t="n">
        <v>58897.51</v>
      </c>
      <c r="M161" s="4" t="n">
        <v>62168.21</v>
      </c>
      <c r="N161" s="4" t="inlineStr">
        <is>
          <t>OK</t>
        </is>
      </c>
    </row>
    <row r="162">
      <c r="A162" s="4" t="inlineStr">
        <is>
          <t>CLM-101113</t>
        </is>
      </c>
      <c r="B162" s="4" t="inlineStr">
        <is>
          <t>4555886</t>
        </is>
      </c>
      <c r="C162" s="4" t="inlineStr">
        <is>
          <t>Rathmore Marine Ltd</t>
        </is>
      </c>
      <c r="D162" s="9" t="n">
        <v>45701</v>
      </c>
      <c r="E162" s="9" t="n">
        <v>46065</v>
      </c>
      <c r="F162" s="4" t="n">
        <v>100000</v>
      </c>
      <c r="G162" s="9" t="n">
        <v>45756</v>
      </c>
      <c r="H162" s="9" t="n">
        <v>45790</v>
      </c>
      <c r="I162" s="4" t="inlineStr">
        <is>
          <t>Open</t>
        </is>
      </c>
      <c r="J162" s="4" t="inlineStr">
        <is>
          <t>GBP</t>
        </is>
      </c>
      <c r="K162" s="4" t="n">
        <v>24005.41</v>
      </c>
      <c r="L162" s="4" t="n">
        <v>39242.14</v>
      </c>
      <c r="M162" s="4" t="n">
        <v>63247.55</v>
      </c>
      <c r="N162" s="4" t="inlineStr">
        <is>
          <t>OK</t>
        </is>
      </c>
    </row>
    <row r="163">
      <c r="A163" s="4" t="inlineStr">
        <is>
          <t>CLM-101120</t>
        </is>
      </c>
      <c r="B163" s="4" t="inlineStr">
        <is>
          <t>4534973</t>
        </is>
      </c>
      <c r="C163" s="4" t="inlineStr">
        <is>
          <t>Upton Logistics Holdings</t>
        </is>
      </c>
      <c r="D163" s="9" t="n">
        <v>45683</v>
      </c>
      <c r="E163" s="9" t="n">
        <v>46047</v>
      </c>
      <c r="F163" s="4" t="n">
        <v>250000</v>
      </c>
      <c r="G163" s="9" t="n">
        <v>45947</v>
      </c>
      <c r="H163" s="9" t="n">
        <v>45963</v>
      </c>
      <c r="I163" s="4" t="inlineStr">
        <is>
          <t>Open</t>
        </is>
      </c>
      <c r="J163" s="4" t="inlineStr">
        <is>
          <t>GBP</t>
        </is>
      </c>
      <c r="K163" s="4" t="n">
        <v>35214.36</v>
      </c>
      <c r="L163" s="4" t="n">
        <v>23447.36</v>
      </c>
      <c r="M163" s="4" t="n">
        <v>58661.72</v>
      </c>
      <c r="N163" s="4" t="inlineStr">
        <is>
          <t>OK</t>
        </is>
      </c>
    </row>
    <row r="164">
      <c r="A164" s="4" t="inlineStr">
        <is>
          <t>CLM-101127</t>
        </is>
      </c>
      <c r="B164" s="4" t="inlineStr">
        <is>
          <t>4151690</t>
        </is>
      </c>
      <c r="C164" s="4" t="inlineStr">
        <is>
          <t>Brennan Freight LLP</t>
        </is>
      </c>
      <c r="D164" s="9" t="n">
        <v>45712</v>
      </c>
      <c r="E164" s="9" t="n">
        <v>46076</v>
      </c>
      <c r="F164" s="4" t="n">
        <v>100000</v>
      </c>
      <c r="G164" s="5" t="inlineStr">
        <is>
          <t>25 Apr 2025</t>
        </is>
      </c>
      <c r="H164" s="9" t="n">
        <v>45777</v>
      </c>
      <c r="I164" s="4" t="inlineStr">
        <is>
          <t>Open</t>
        </is>
      </c>
      <c r="J164" s="4" t="inlineStr">
        <is>
          <t>GBP</t>
        </is>
      </c>
      <c r="K164" s="4" t="n">
        <v>37730.78</v>
      </c>
      <c r="L164" s="4" t="n">
        <v>15171.73</v>
      </c>
      <c r="M164" s="4" t="n">
        <v>52902.51</v>
      </c>
      <c r="N164" s="5" t="inlineStr">
        <is>
          <t>Warning: Date stored as text or a number: date of loss 2025-04-25 was read from text or an Excel serial number, not a date cell.</t>
        </is>
      </c>
    </row>
    <row r="165">
      <c r="A165" s="4" t="inlineStr">
        <is>
          <t>CLM-101134</t>
        </is>
      </c>
      <c r="B165" s="4" t="inlineStr">
        <is>
          <t>4624438</t>
        </is>
      </c>
      <c r="C165" s="4" t="inlineStr">
        <is>
          <t>Merrow Builders plc</t>
        </is>
      </c>
      <c r="D165" s="9" t="n">
        <v>45816</v>
      </c>
      <c r="E165" s="9" t="n">
        <v>46180</v>
      </c>
      <c r="F165" s="4" t="n">
        <v>500000</v>
      </c>
      <c r="G165" s="9" t="n">
        <v>45826</v>
      </c>
      <c r="H165" s="9" t="n">
        <v>45828</v>
      </c>
      <c r="I165" s="4" t="inlineStr">
        <is>
          <t>Open</t>
        </is>
      </c>
      <c r="J165" s="4" t="inlineStr">
        <is>
          <t>USD</t>
        </is>
      </c>
      <c r="K165" s="4" t="n">
        <v>40937.62</v>
      </c>
      <c r="L165" s="4" t="n">
        <v>44299.95</v>
      </c>
      <c r="M165" s="4" t="n">
        <v>85237.57000000001</v>
      </c>
      <c r="N165" s="4" t="inlineStr">
        <is>
          <t>OK</t>
        </is>
      </c>
    </row>
    <row r="166">
      <c r="A166" s="4" t="inlineStr">
        <is>
          <t>CLM-101141</t>
        </is>
      </c>
      <c r="B166" s="4" t="inlineStr">
        <is>
          <t>4655374</t>
        </is>
      </c>
      <c r="C166" s="4" t="inlineStr">
        <is>
          <t>Norland Florists &amp; Sons</t>
        </is>
      </c>
      <c r="D166" s="9" t="n">
        <v>45706</v>
      </c>
      <c r="E166" s="9" t="n">
        <v>46070</v>
      </c>
      <c r="F166" s="4" t="n">
        <v>500000</v>
      </c>
      <c r="G166" s="9" t="n">
        <v>45799</v>
      </c>
      <c r="H166" s="9" t="n">
        <v>45836</v>
      </c>
      <c r="I166" s="4" t="inlineStr">
        <is>
          <t>Open</t>
        </is>
      </c>
      <c r="J166" s="4" t="inlineStr">
        <is>
          <t>GBP</t>
        </is>
      </c>
      <c r="K166" s="4" t="n">
        <v>11475.69</v>
      </c>
      <c r="L166" s="4" t="n">
        <v>30839.69</v>
      </c>
      <c r="M166" s="4" t="n">
        <v>42315.38</v>
      </c>
      <c r="N166" s="4" t="inlineStr">
        <is>
          <t>OK</t>
        </is>
      </c>
    </row>
    <row r="167">
      <c r="A167" s="4" t="inlineStr">
        <is>
          <t>CLM-101148</t>
        </is>
      </c>
      <c r="B167" s="4" t="inlineStr">
        <is>
          <t>4361069</t>
        </is>
      </c>
      <c r="C167" s="4" t="inlineStr">
        <is>
          <t>Ashby Haulage &amp; Sons</t>
        </is>
      </c>
      <c r="D167" s="9" t="n">
        <v>45902</v>
      </c>
      <c r="E167" s="9" t="n">
        <v>46266</v>
      </c>
      <c r="F167" s="4" t="n">
        <v>100000</v>
      </c>
      <c r="G167" s="9" t="n">
        <v>45962</v>
      </c>
      <c r="H167" s="9" t="n">
        <v>45994</v>
      </c>
      <c r="I167" s="4" t="inlineStr">
        <is>
          <t>Closed</t>
        </is>
      </c>
      <c r="J167" s="4" t="inlineStr">
        <is>
          <t>GBP</t>
        </is>
      </c>
      <c r="K167" s="4" t="n">
        <v>10775.21</v>
      </c>
      <c r="L167" s="4" t="n">
        <v>0</v>
      </c>
      <c r="M167" s="4" t="n">
        <v>10775.21</v>
      </c>
      <c r="N167" s="4" t="inlineStr">
        <is>
          <t>OK</t>
        </is>
      </c>
    </row>
    <row r="168">
      <c r="A168" s="4" t="inlineStr">
        <is>
          <t>CLM-101155</t>
        </is>
      </c>
      <c r="B168" s="4" t="inlineStr">
        <is>
          <t>4548296</t>
        </is>
      </c>
      <c r="C168" s="4" t="inlineStr">
        <is>
          <t>Pembroke Engineering Group</t>
        </is>
      </c>
      <c r="D168" s="9" t="n">
        <v>45812</v>
      </c>
      <c r="E168" s="9" t="n">
        <v>46176</v>
      </c>
      <c r="F168" s="4" t="n">
        <v>1000000</v>
      </c>
      <c r="G168" s="9" t="n">
        <v>45924</v>
      </c>
      <c r="H168" s="9" t="n">
        <v>45942</v>
      </c>
      <c r="I168" s="4" t="inlineStr">
        <is>
          <t>Open</t>
        </is>
      </c>
      <c r="J168" s="4" t="inlineStr">
        <is>
          <t>EUR</t>
        </is>
      </c>
      <c r="K168" s="4" t="n">
        <v>44786.23</v>
      </c>
      <c r="L168" s="4" t="n">
        <v>52510.42</v>
      </c>
      <c r="M168" s="4" t="n">
        <v>97296.64999999999</v>
      </c>
      <c r="N168" s="4" t="inlineStr">
        <is>
          <t>OK</t>
        </is>
      </c>
    </row>
    <row r="169">
      <c r="A169" s="4" t="inlineStr">
        <is>
          <t>CLM-101162</t>
        </is>
      </c>
      <c r="B169" s="4" t="inlineStr">
        <is>
          <t>4682068</t>
        </is>
      </c>
      <c r="C169" s="4" t="inlineStr">
        <is>
          <t>Larkspur Pharmacy Limited</t>
        </is>
      </c>
      <c r="D169" s="9" t="n">
        <v>45664</v>
      </c>
      <c r="E169" s="9" t="n">
        <v>46028</v>
      </c>
      <c r="F169" s="4" t="n">
        <v>1000000</v>
      </c>
      <c r="G169" s="9" t="n">
        <v>45970</v>
      </c>
      <c r="H169" s="9" t="n">
        <v>46003</v>
      </c>
      <c r="I169" s="4" t="inlineStr">
        <is>
          <t>Open</t>
        </is>
      </c>
      <c r="J169" s="4" t="inlineStr">
        <is>
          <t>GBP</t>
        </is>
      </c>
      <c r="K169" s="4" t="n">
        <v>11137.84</v>
      </c>
      <c r="L169" s="4" t="n">
        <v>953.71</v>
      </c>
      <c r="M169" s="4" t="n">
        <v>12091.55</v>
      </c>
      <c r="N169" s="4" t="inlineStr">
        <is>
          <t>OK</t>
        </is>
      </c>
    </row>
    <row r="170">
      <c r="A170" s="4" t="inlineStr">
        <is>
          <t>CLM-101169</t>
        </is>
      </c>
      <c r="B170" s="4" t="inlineStr">
        <is>
          <t>4745855</t>
        </is>
      </c>
      <c r="C170" s="4" t="inlineStr">
        <is>
          <t>Upton Marine Ltd</t>
        </is>
      </c>
      <c r="D170" s="9" t="n">
        <v>45834</v>
      </c>
      <c r="E170" s="9" t="n">
        <v>46198</v>
      </c>
      <c r="F170" s="4" t="n">
        <v>1000000</v>
      </c>
      <c r="G170" s="9" t="n">
        <v>45894</v>
      </c>
      <c r="H170" s="9" t="n">
        <v>45923</v>
      </c>
      <c r="I170" s="4" t="inlineStr">
        <is>
          <t>Open</t>
        </is>
      </c>
      <c r="J170" s="4" t="inlineStr">
        <is>
          <t>GBP</t>
        </is>
      </c>
      <c r="K170" s="4" t="n">
        <v>41427.48</v>
      </c>
      <c r="L170" s="4" t="n">
        <v>6790.48</v>
      </c>
      <c r="M170" s="4" t="n">
        <v>48217.96</v>
      </c>
      <c r="N170" s="4" t="inlineStr">
        <is>
          <t>OK</t>
        </is>
      </c>
    </row>
    <row r="171">
      <c r="A171" s="4" t="inlineStr">
        <is>
          <t>CLM-101176</t>
        </is>
      </c>
      <c r="B171" s="4" t="inlineStr">
        <is>
          <t>4291303</t>
        </is>
      </c>
      <c r="C171" s="4" t="inlineStr">
        <is>
          <t>Dunmore Print Limited</t>
        </is>
      </c>
      <c r="D171" s="9" t="n">
        <v>45780</v>
      </c>
      <c r="E171" s="9" t="n">
        <v>46144</v>
      </c>
      <c r="F171" s="4" t="n">
        <v>100000</v>
      </c>
      <c r="G171" s="9" t="n">
        <v>45950</v>
      </c>
      <c r="H171" s="9" t="n">
        <v>45958</v>
      </c>
      <c r="I171" s="4" t="inlineStr">
        <is>
          <t>Closed</t>
        </is>
      </c>
      <c r="J171" s="4" t="inlineStr">
        <is>
          <t>GBP</t>
        </is>
      </c>
      <c r="K171" s="4" t="n">
        <v>31415.51</v>
      </c>
      <c r="L171" s="4" t="n">
        <v>0</v>
      </c>
      <c r="M171" s="4" t="n">
        <v>31415.51</v>
      </c>
      <c r="N171" s="4" t="inlineStr">
        <is>
          <t>OK</t>
        </is>
      </c>
    </row>
    <row r="172">
      <c r="A172" s="4" t="inlineStr">
        <is>
          <t>CLM-101183</t>
        </is>
      </c>
      <c r="B172" s="4" t="inlineStr">
        <is>
          <t>4260247</t>
        </is>
      </c>
      <c r="C172" s="4" t="inlineStr">
        <is>
          <t>Merrow Pharmacy plc</t>
        </is>
      </c>
      <c r="D172" s="9" t="n">
        <v>45891</v>
      </c>
      <c r="E172" s="9" t="n">
        <v>46255</v>
      </c>
      <c r="F172" s="4" t="n">
        <v>100000</v>
      </c>
      <c r="G172" s="9" t="n">
        <v>46058</v>
      </c>
      <c r="H172" s="9" t="n">
        <v>46084</v>
      </c>
      <c r="I172" s="4" t="inlineStr">
        <is>
          <t>Open</t>
        </is>
      </c>
      <c r="J172" s="4" t="inlineStr">
        <is>
          <t>USD</t>
        </is>
      </c>
      <c r="K172" s="4" t="n">
        <v>39273.1</v>
      </c>
      <c r="L172" s="4" t="n">
        <v>3760.44</v>
      </c>
      <c r="M172" s="4" t="n">
        <v>43033.54</v>
      </c>
      <c r="N172" s="4" t="inlineStr">
        <is>
          <t>OK</t>
        </is>
      </c>
    </row>
    <row r="173">
      <c r="A173" s="4" t="inlineStr">
        <is>
          <t>CLM-101190</t>
        </is>
      </c>
      <c r="B173" s="4" t="inlineStr">
        <is>
          <t>4249069</t>
        </is>
      </c>
      <c r="C173" s="4" t="inlineStr">
        <is>
          <t>Upton Motors Holdings</t>
        </is>
      </c>
      <c r="D173" s="9" t="n">
        <v>45756</v>
      </c>
      <c r="E173" s="9" t="n">
        <v>46120</v>
      </c>
      <c r="F173" s="4" t="n">
        <v>250000</v>
      </c>
      <c r="G173" s="9" t="n">
        <v>45944</v>
      </c>
      <c r="H173" s="9" t="n">
        <v>45967</v>
      </c>
      <c r="I173" s="4" t="inlineStr">
        <is>
          <t>Closed</t>
        </is>
      </c>
      <c r="J173" s="4" t="inlineStr">
        <is>
          <t>GBP</t>
        </is>
      </c>
      <c r="K173" s="4" t="n">
        <v>36072.75</v>
      </c>
      <c r="L173" s="4" t="n">
        <v>0</v>
      </c>
      <c r="M173" s="4" t="n">
        <v>36072.75</v>
      </c>
      <c r="N173" s="4" t="inlineStr">
        <is>
          <t>OK</t>
        </is>
      </c>
    </row>
    <row r="174">
      <c r="A174" s="4" t="inlineStr">
        <is>
          <t>CLM-101197</t>
        </is>
      </c>
      <c r="B174" s="4" t="inlineStr">
        <is>
          <t>4597504</t>
        </is>
      </c>
      <c r="C174" s="4" t="inlineStr">
        <is>
          <t>Ellery Farms Limited</t>
        </is>
      </c>
      <c r="D174" s="9" t="n">
        <v>45834</v>
      </c>
      <c r="E174" s="9" t="n">
        <v>46198</v>
      </c>
      <c r="F174" s="4" t="n">
        <v>250000</v>
      </c>
      <c r="G174" s="9" t="n">
        <v>46150</v>
      </c>
      <c r="H174" s="9" t="n">
        <v>46190</v>
      </c>
      <c r="I174" s="4" t="inlineStr">
        <is>
          <t>Open</t>
        </is>
      </c>
      <c r="J174" s="4" t="inlineStr">
        <is>
          <t>GBP</t>
        </is>
      </c>
      <c r="K174" s="4" t="n">
        <v>45203.43</v>
      </c>
      <c r="L174" s="4" t="n">
        <v>29774.99</v>
      </c>
      <c r="M174" s="4" t="n">
        <v>74978.42</v>
      </c>
      <c r="N174" s="4" t="inlineStr">
        <is>
          <t>OK</t>
        </is>
      </c>
    </row>
    <row r="175">
      <c r="A175" s="4" t="inlineStr">
        <is>
          <t>CLM-101204</t>
        </is>
      </c>
      <c r="B175" s="4" t="inlineStr">
        <is>
          <t>4401217</t>
        </is>
      </c>
      <c r="C175" s="4" t="inlineStr">
        <is>
          <t>Merrow Garages Limited</t>
        </is>
      </c>
      <c r="D175" s="9" t="n">
        <v>45872</v>
      </c>
      <c r="E175" s="9" t="n">
        <v>46236</v>
      </c>
      <c r="F175" s="4" t="n">
        <v>500000</v>
      </c>
      <c r="G175" s="9" t="n">
        <v>46077</v>
      </c>
      <c r="H175" s="9" t="n">
        <v>46078</v>
      </c>
      <c r="I175" s="4" t="inlineStr">
        <is>
          <t>Open</t>
        </is>
      </c>
      <c r="J175" s="4" t="inlineStr">
        <is>
          <t>EUR</t>
        </is>
      </c>
      <c r="K175" s="4" t="n">
        <v>16679.13</v>
      </c>
      <c r="L175" s="4" t="n">
        <v>59328.31</v>
      </c>
      <c r="M175" s="4" t="n">
        <v>76007.44</v>
      </c>
      <c r="N175" s="4" t="inlineStr">
        <is>
          <t>OK</t>
        </is>
      </c>
    </row>
    <row r="176">
      <c r="A176" s="4" t="inlineStr">
        <is>
          <t>CLM-101211</t>
        </is>
      </c>
      <c r="B176" s="4" t="inlineStr">
        <is>
          <t>4656370</t>
        </is>
      </c>
      <c r="C176" s="4" t="inlineStr">
        <is>
          <t>Inglewood Print LLP</t>
        </is>
      </c>
      <c r="D176" s="9" t="n">
        <v>46009</v>
      </c>
      <c r="E176" s="9" t="n">
        <v>46373</v>
      </c>
      <c r="F176" s="4" t="n">
        <v>100000</v>
      </c>
      <c r="G176" s="9" t="n">
        <v>46031</v>
      </c>
      <c r="H176" s="9" t="n">
        <v>46038</v>
      </c>
      <c r="I176" s="4" t="inlineStr">
        <is>
          <t>Closed</t>
        </is>
      </c>
      <c r="J176" s="4" t="inlineStr">
        <is>
          <t>EUR</t>
        </is>
      </c>
      <c r="K176" s="4" t="n">
        <v>31378.52</v>
      </c>
      <c r="L176" s="4" t="n">
        <v>0</v>
      </c>
      <c r="M176" s="4" t="n">
        <v>31378.52</v>
      </c>
      <c r="N176" s="4" t="inlineStr">
        <is>
          <t>OK</t>
        </is>
      </c>
    </row>
    <row r="177">
      <c r="A177" s="4" t="inlineStr">
        <is>
          <t>CLM-101218</t>
        </is>
      </c>
      <c r="B177" s="4" t="inlineStr">
        <is>
          <t>4238083</t>
        </is>
      </c>
      <c r="C177" s="4" t="inlineStr">
        <is>
          <t>Ellery Farms Limited</t>
        </is>
      </c>
      <c r="D177" s="9" t="n">
        <v>45936</v>
      </c>
      <c r="E177" s="9" t="n">
        <v>46300</v>
      </c>
      <c r="F177" s="4" t="n">
        <v>1000000</v>
      </c>
      <c r="G177" s="9" t="n">
        <v>46171</v>
      </c>
      <c r="H177" s="9" t="n">
        <v>46189</v>
      </c>
      <c r="I177" s="4" t="inlineStr">
        <is>
          <t>Open</t>
        </is>
      </c>
      <c r="J177" s="4" t="inlineStr">
        <is>
          <t>EUR</t>
        </is>
      </c>
      <c r="K177" s="4" t="n">
        <v>50525.29</v>
      </c>
      <c r="L177" s="4" t="n">
        <v>25467.1</v>
      </c>
      <c r="M177" s="4" t="n">
        <v>75992.39</v>
      </c>
      <c r="N177" s="4" t="inlineStr">
        <is>
          <t>OK</t>
        </is>
      </c>
    </row>
    <row r="178">
      <c r="A178" s="4" t="inlineStr">
        <is>
          <t>CLM-101225</t>
        </is>
      </c>
      <c r="B178" s="4" t="inlineStr">
        <is>
          <t>4194347</t>
        </is>
      </c>
      <c r="C178" s="4" t="inlineStr">
        <is>
          <t>Harbour Bakery LLP</t>
        </is>
      </c>
      <c r="D178" s="9" t="n">
        <v>45957</v>
      </c>
      <c r="E178" s="9" t="n">
        <v>46321</v>
      </c>
      <c r="F178" s="4" t="n">
        <v>500000</v>
      </c>
      <c r="G178" s="9" t="n">
        <v>46064</v>
      </c>
      <c r="H178" s="9" t="n">
        <v>46066</v>
      </c>
      <c r="I178" s="4" t="inlineStr">
        <is>
          <t>Open</t>
        </is>
      </c>
      <c r="J178" s="4" t="inlineStr">
        <is>
          <t>GBP</t>
        </is>
      </c>
      <c r="K178" s="4" t="n">
        <v>35721.93</v>
      </c>
      <c r="L178" s="4" t="n">
        <v>41334.71</v>
      </c>
      <c r="M178" s="4" t="n">
        <v>77056.64</v>
      </c>
      <c r="N178" s="4" t="inlineStr">
        <is>
          <t>OK</t>
        </is>
      </c>
    </row>
    <row r="179">
      <c r="A179" s="4" t="inlineStr">
        <is>
          <t>CLM-101232</t>
        </is>
      </c>
      <c r="B179" s="4" t="inlineStr">
        <is>
          <t>4763152</t>
        </is>
      </c>
      <c r="C179" s="4" t="inlineStr">
        <is>
          <t>Galway Textiles &amp; Sons</t>
        </is>
      </c>
      <c r="D179" s="9" t="n">
        <v>45841</v>
      </c>
      <c r="E179" s="9" t="n">
        <v>46205</v>
      </c>
      <c r="F179" s="4" t="n">
        <v>100000</v>
      </c>
      <c r="G179" s="9" t="n">
        <v>45999</v>
      </c>
      <c r="H179" s="9" t="n">
        <v>46030</v>
      </c>
      <c r="I179" s="4" t="inlineStr">
        <is>
          <t>Open</t>
        </is>
      </c>
      <c r="J179" s="4" t="inlineStr">
        <is>
          <t>EUR</t>
        </is>
      </c>
      <c r="K179" s="4" t="n">
        <v>16088.52</v>
      </c>
      <c r="L179" s="4" t="n">
        <v>32988.89</v>
      </c>
      <c r="M179" s="4" t="n">
        <v>49077.41</v>
      </c>
      <c r="N179" s="4" t="inlineStr">
        <is>
          <t>OK</t>
        </is>
      </c>
    </row>
    <row r="180">
      <c r="A180" s="4" t="inlineStr">
        <is>
          <t>CLM-101239</t>
        </is>
      </c>
      <c r="B180" s="4" t="inlineStr">
        <is>
          <t>4159679</t>
        </is>
      </c>
      <c r="C180" s="4" t="inlineStr">
        <is>
          <t>Norland Marine Ltd</t>
        </is>
      </c>
      <c r="D180" s="9" t="n">
        <v>45757</v>
      </c>
      <c r="E180" s="9" t="n">
        <v>46121</v>
      </c>
      <c r="F180" s="4" t="n">
        <v>250000</v>
      </c>
      <c r="G180" s="9" t="n">
        <v>46001</v>
      </c>
      <c r="H180" s="9" t="n">
        <v>46027</v>
      </c>
      <c r="I180" s="4" t="inlineStr">
        <is>
          <t>Open</t>
        </is>
      </c>
      <c r="J180" s="4" t="inlineStr">
        <is>
          <t>GBP</t>
        </is>
      </c>
      <c r="K180" s="4" t="n">
        <v>17974</v>
      </c>
      <c r="L180" s="4" t="n">
        <v>32763.79</v>
      </c>
      <c r="M180" s="4" t="n">
        <v>50737.79</v>
      </c>
      <c r="N180" s="4" t="inlineStr">
        <is>
          <t>OK</t>
        </is>
      </c>
    </row>
    <row r="181">
      <c r="A181" s="4" t="inlineStr">
        <is>
          <t>CLM-101246</t>
        </is>
      </c>
      <c r="B181" s="4" t="inlineStr">
        <is>
          <t>4463741</t>
        </is>
      </c>
      <c r="C181" s="4" t="inlineStr">
        <is>
          <t>Rathmore Pharmacy &amp; Sons</t>
        </is>
      </c>
      <c r="D181" s="9" t="n">
        <v>45768</v>
      </c>
      <c r="E181" s="9" t="n">
        <v>46132</v>
      </c>
      <c r="F181" s="4" t="n">
        <v>1000000</v>
      </c>
      <c r="G181" s="9" t="n">
        <v>45778</v>
      </c>
      <c r="H181" s="9" t="n">
        <v>45790</v>
      </c>
      <c r="I181" s="4" t="inlineStr">
        <is>
          <t>Open</t>
        </is>
      </c>
      <c r="J181" s="4" t="inlineStr">
        <is>
          <t>GBP</t>
        </is>
      </c>
      <c r="K181" s="4" t="n">
        <v>10237.84</v>
      </c>
      <c r="L181" s="4" t="n">
        <v>75227.57000000001</v>
      </c>
      <c r="M181" s="4" t="n">
        <v>85465.41</v>
      </c>
      <c r="N181" s="4" t="inlineStr">
        <is>
          <t>OK</t>
        </is>
      </c>
    </row>
    <row r="182">
      <c r="A182" s="4" t="inlineStr">
        <is>
          <t>CLM-101253</t>
        </is>
      </c>
      <c r="B182" s="4" t="inlineStr">
        <is>
          <t>4828561</t>
        </is>
      </c>
      <c r="C182" s="4" t="inlineStr">
        <is>
          <t>Harbour Freight Holdings</t>
        </is>
      </c>
      <c r="D182" s="9" t="n">
        <v>45939</v>
      </c>
      <c r="E182" s="9" t="n">
        <v>46303</v>
      </c>
      <c r="F182" s="4" t="n">
        <v>250000</v>
      </c>
      <c r="G182" s="9" t="n">
        <v>46189</v>
      </c>
      <c r="H182" s="9" t="n">
        <v>46196</v>
      </c>
      <c r="I182" s="4" t="inlineStr">
        <is>
          <t>Open</t>
        </is>
      </c>
      <c r="J182" s="4" t="inlineStr">
        <is>
          <t>USD</t>
        </is>
      </c>
      <c r="K182" s="4" t="n">
        <v>42216.66</v>
      </c>
      <c r="L182" s="4" t="n">
        <v>12742.03</v>
      </c>
      <c r="M182" s="4" t="n">
        <v>54958.69</v>
      </c>
      <c r="N182" s="4" t="inlineStr">
        <is>
          <t>OK</t>
        </is>
      </c>
    </row>
    <row r="183">
      <c r="A183" s="4" t="inlineStr">
        <is>
          <t>CLM-101260</t>
        </is>
      </c>
      <c r="B183" s="4" t="inlineStr">
        <is>
          <t>4236029</t>
        </is>
      </c>
      <c r="C183" s="4" t="inlineStr">
        <is>
          <t>Ellery Electrical LLP</t>
        </is>
      </c>
      <c r="D183" s="9" t="n">
        <v>45758</v>
      </c>
      <c r="E183" s="9" t="n">
        <v>46122</v>
      </c>
      <c r="F183" s="4" t="n">
        <v>1000000</v>
      </c>
      <c r="G183" s="9" t="n">
        <v>45832</v>
      </c>
      <c r="H183" s="9" t="n">
        <v>45838</v>
      </c>
      <c r="I183" s="4" t="inlineStr">
        <is>
          <t>Open</t>
        </is>
      </c>
      <c r="J183" s="4" t="inlineStr">
        <is>
          <t>EUR</t>
        </is>
      </c>
      <c r="K183" s="4" t="n">
        <v>49824.36</v>
      </c>
      <c r="L183" s="4" t="n">
        <v>67056.34</v>
      </c>
      <c r="M183" s="4" t="n">
        <v>116880.7</v>
      </c>
      <c r="N183" s="4" t="inlineStr">
        <is>
          <t>OK</t>
        </is>
      </c>
    </row>
    <row r="184">
      <c r="A184" s="4" t="inlineStr">
        <is>
          <t>CLM-101267</t>
        </is>
      </c>
      <c r="B184" s="4" t="inlineStr">
        <is>
          <t>4208340</t>
        </is>
      </c>
      <c r="C184" s="4" t="inlineStr">
        <is>
          <t>Galway Farms Group</t>
        </is>
      </c>
      <c r="D184" s="9" t="n">
        <v>45907</v>
      </c>
      <c r="E184" s="9" t="n">
        <v>46271</v>
      </c>
      <c r="F184" s="4" t="n">
        <v>1000000</v>
      </c>
      <c r="G184" s="9" t="n">
        <v>46121</v>
      </c>
      <c r="H184" s="9" t="n">
        <v>46154</v>
      </c>
      <c r="I184" s="4" t="inlineStr">
        <is>
          <t>Open</t>
        </is>
      </c>
      <c r="J184" s="4" t="inlineStr">
        <is>
          <t>USD</t>
        </is>
      </c>
      <c r="K184" s="4" t="n">
        <v>29739.09</v>
      </c>
      <c r="L184" s="4" t="n">
        <v>67090.89999999999</v>
      </c>
      <c r="M184" s="4" t="n">
        <v>96829.99000000001</v>
      </c>
      <c r="N184" s="4" t="inlineStr">
        <is>
          <t>OK</t>
        </is>
      </c>
    </row>
    <row r="185">
      <c r="A185" s="4" t="inlineStr">
        <is>
          <t>CLM-101274</t>
        </is>
      </c>
      <c r="B185" s="4" t="inlineStr">
        <is>
          <t>4414867</t>
        </is>
      </c>
      <c r="C185" s="4" t="inlineStr">
        <is>
          <t>Kilbride Bakery Limited</t>
        </is>
      </c>
      <c r="D185" s="9" t="n">
        <v>45889</v>
      </c>
      <c r="E185" s="9" t="n">
        <v>46253</v>
      </c>
      <c r="F185" s="4" t="n">
        <v>1000000</v>
      </c>
      <c r="G185" s="9" t="n">
        <v>46165</v>
      </c>
      <c r="H185" s="9" t="n">
        <v>46193</v>
      </c>
      <c r="I185" s="4" t="inlineStr">
        <is>
          <t>Open</t>
        </is>
      </c>
      <c r="J185" s="4" t="inlineStr">
        <is>
          <t>GBP</t>
        </is>
      </c>
      <c r="K185" s="4" t="n">
        <v>38363.04</v>
      </c>
      <c r="L185" s="4" t="n">
        <v>23196.63</v>
      </c>
      <c r="M185" s="4" t="n">
        <v>61559.67</v>
      </c>
      <c r="N185" s="4" t="inlineStr">
        <is>
          <t>OK</t>
        </is>
      </c>
    </row>
    <row r="186">
      <c r="A186" s="4" t="inlineStr">
        <is>
          <t>CLM-101281</t>
        </is>
      </c>
      <c r="B186" s="4" t="inlineStr">
        <is>
          <t>4451933</t>
        </is>
      </c>
      <c r="C186" s="4" t="inlineStr">
        <is>
          <t>Yarrow Pharmacy Limited</t>
        </is>
      </c>
      <c r="D186" s="9" t="n">
        <v>45679</v>
      </c>
      <c r="E186" s="9" t="n">
        <v>46043</v>
      </c>
      <c r="F186" s="4" t="n">
        <v>1000000</v>
      </c>
      <c r="G186" s="9" t="n">
        <v>45804</v>
      </c>
      <c r="H186" s="9" t="n">
        <v>45830</v>
      </c>
      <c r="I186" s="4" t="inlineStr">
        <is>
          <t>Open</t>
        </is>
      </c>
      <c r="J186" s="4" t="inlineStr">
        <is>
          <t>EUR</t>
        </is>
      </c>
      <c r="K186" s="4" t="n">
        <v>57621.94</v>
      </c>
      <c r="L186" s="4" t="n">
        <v>53228.25</v>
      </c>
      <c r="M186" s="4" t="n">
        <v>110850.19</v>
      </c>
      <c r="N186" s="4" t="inlineStr">
        <is>
          <t>OK</t>
        </is>
      </c>
    </row>
    <row r="187">
      <c r="A187" s="4" t="inlineStr">
        <is>
          <t>CLM-101288</t>
        </is>
      </c>
      <c r="B187" s="4" t="inlineStr">
        <is>
          <t>4213411</t>
        </is>
      </c>
      <c r="C187" s="4" t="inlineStr">
        <is>
          <t>Ballina Freight Holdings</t>
        </is>
      </c>
      <c r="D187" s="9" t="n">
        <v>45887</v>
      </c>
      <c r="E187" s="9" t="n">
        <v>46251</v>
      </c>
      <c r="F187" s="4" t="n">
        <v>500000</v>
      </c>
      <c r="G187" s="9" t="n">
        <v>45902</v>
      </c>
      <c r="H187" s="9" t="n">
        <v>45941</v>
      </c>
      <c r="I187" s="4" t="inlineStr">
        <is>
          <t>Open</t>
        </is>
      </c>
      <c r="J187" s="4" t="inlineStr">
        <is>
          <t>EUR</t>
        </is>
      </c>
      <c r="K187" s="4" t="n">
        <v>14471.08</v>
      </c>
      <c r="L187" s="4" t="n">
        <v>40959.12</v>
      </c>
      <c r="M187" s="4" t="n">
        <v>55430.2</v>
      </c>
      <c r="N187" s="4" t="inlineStr">
        <is>
          <t>OK</t>
        </is>
      </c>
    </row>
    <row r="188">
      <c r="A188" s="4" t="inlineStr">
        <is>
          <t>CLM-101295</t>
        </is>
      </c>
      <c r="B188" s="4" t="inlineStr">
        <is>
          <t>4426308</t>
        </is>
      </c>
      <c r="C188" s="4" t="inlineStr">
        <is>
          <t>Ballina Farms Limited</t>
        </is>
      </c>
      <c r="D188" s="9" t="n">
        <v>45951</v>
      </c>
      <c r="E188" s="9" t="n">
        <v>46315</v>
      </c>
      <c r="F188" s="4" t="n">
        <v>100000</v>
      </c>
      <c r="G188" s="9" t="n">
        <v>46221</v>
      </c>
      <c r="H188" s="9" t="n">
        <v>46233</v>
      </c>
      <c r="I188" s="4" t="inlineStr">
        <is>
          <t>Closed</t>
        </is>
      </c>
      <c r="J188" s="4" t="inlineStr">
        <is>
          <t>EUR</t>
        </is>
      </c>
      <c r="K188" s="4" t="n">
        <v>12403.04</v>
      </c>
      <c r="L188" s="4" t="n">
        <v>0</v>
      </c>
      <c r="M188" s="4" t="n">
        <v>12403.04</v>
      </c>
      <c r="N188" s="4" t="inlineStr">
        <is>
          <t>OK</t>
        </is>
      </c>
    </row>
    <row r="189">
      <c r="A189" s="4" t="inlineStr">
        <is>
          <t>CLM-101302</t>
        </is>
      </c>
      <c r="B189" s="4" t="inlineStr">
        <is>
          <t>4790111</t>
        </is>
      </c>
      <c r="C189" s="4" t="inlineStr">
        <is>
          <t>Ellery Haulage Ltd</t>
        </is>
      </c>
      <c r="D189" s="9" t="n">
        <v>45733</v>
      </c>
      <c r="E189" s="9" t="n">
        <v>46097</v>
      </c>
      <c r="F189" s="4" t="n">
        <v>250000</v>
      </c>
      <c r="G189" s="9" t="n">
        <v>45831</v>
      </c>
      <c r="H189" s="9" t="n">
        <v>45860</v>
      </c>
      <c r="I189" s="4" t="inlineStr">
        <is>
          <t>Open</t>
        </is>
      </c>
      <c r="J189" s="4" t="inlineStr">
        <is>
          <t>USD</t>
        </is>
      </c>
      <c r="K189" s="4" t="n">
        <v>49151.77</v>
      </c>
      <c r="L189" s="4" t="n">
        <v>21523.23</v>
      </c>
      <c r="M189" s="4" t="n">
        <v>70675</v>
      </c>
      <c r="N189" s="4" t="inlineStr">
        <is>
          <t>OK</t>
        </is>
      </c>
    </row>
    <row r="190">
      <c r="A190" s="4" t="inlineStr">
        <is>
          <t>CLM-101309</t>
        </is>
      </c>
      <c r="B190" s="4" t="inlineStr">
        <is>
          <t>4499984</t>
        </is>
      </c>
      <c r="C190" s="4" t="inlineStr">
        <is>
          <t>Selby Haulage Limited</t>
        </is>
      </c>
      <c r="D190" s="9" t="n">
        <v>45975</v>
      </c>
      <c r="E190" s="9" t="n">
        <v>46339</v>
      </c>
      <c r="F190" s="4" t="n">
        <v>100000</v>
      </c>
      <c r="G190" s="9" t="n">
        <v>46237</v>
      </c>
      <c r="H190" s="9" t="n">
        <v>46245</v>
      </c>
      <c r="I190" s="4" t="inlineStr">
        <is>
          <t>Closed</t>
        </is>
      </c>
      <c r="J190" s="4" t="inlineStr">
        <is>
          <t>GBP</t>
        </is>
      </c>
      <c r="K190" s="4" t="n">
        <v>29533.43</v>
      </c>
      <c r="L190" s="4" t="n">
        <v>0</v>
      </c>
      <c r="M190" s="4" t="n">
        <v>29533.43</v>
      </c>
      <c r="N190" s="4" t="inlineStr">
        <is>
          <t>OK</t>
        </is>
      </c>
    </row>
    <row r="191">
      <c r="A191" s="4" t="inlineStr">
        <is>
          <t>CLM-101316</t>
        </is>
      </c>
      <c r="B191" s="4" t="inlineStr">
        <is>
          <t>4369909</t>
        </is>
      </c>
      <c r="C191" s="4" t="inlineStr">
        <is>
          <t>Northcote Dental Ltd</t>
        </is>
      </c>
      <c r="D191" s="9" t="n">
        <v>45679</v>
      </c>
      <c r="E191" s="9" t="n">
        <v>46043</v>
      </c>
      <c r="F191" s="4" t="n">
        <v>1000000</v>
      </c>
      <c r="G191" s="9" t="n">
        <v>45988</v>
      </c>
      <c r="H191" s="9" t="n">
        <v>46006</v>
      </c>
      <c r="I191" s="4" t="inlineStr">
        <is>
          <t>Closed</t>
        </is>
      </c>
      <c r="J191" s="4" t="inlineStr">
        <is>
          <t>USD</t>
        </is>
      </c>
      <c r="K191" s="4" t="n">
        <v>39779.83</v>
      </c>
      <c r="L191" s="4" t="n">
        <v>0</v>
      </c>
      <c r="M191" s="4" t="n">
        <v>39779.83</v>
      </c>
      <c r="N191" s="4" t="inlineStr">
        <is>
          <t>OK</t>
        </is>
      </c>
    </row>
    <row r="192">
      <c r="A192" s="4" t="inlineStr">
        <is>
          <t>CLM-101323</t>
        </is>
      </c>
      <c r="B192" s="4" t="inlineStr">
        <is>
          <t>4863072</t>
        </is>
      </c>
      <c r="C192" s="4" t="inlineStr">
        <is>
          <t>Harbour Bakery Ltd</t>
        </is>
      </c>
      <c r="D192" s="9" t="n">
        <v>45839</v>
      </c>
      <c r="E192" s="9" t="n">
        <v>46203</v>
      </c>
      <c r="F192" s="4" t="n">
        <v>1000000</v>
      </c>
      <c r="G192" s="9" t="n">
        <v>46066</v>
      </c>
      <c r="H192" s="9" t="n">
        <v>46069</v>
      </c>
      <c r="I192" s="4" t="inlineStr">
        <is>
          <t>Open</t>
        </is>
      </c>
      <c r="J192" s="4" t="inlineStr">
        <is>
          <t>GBP</t>
        </is>
      </c>
      <c r="K192" s="4" t="n">
        <v>21744.95</v>
      </c>
      <c r="L192" s="4" t="n">
        <v>16725.29</v>
      </c>
      <c r="M192" s="4" t="n">
        <v>38470.24</v>
      </c>
      <c r="N192" s="4" t="inlineStr">
        <is>
          <t>OK</t>
        </is>
      </c>
    </row>
    <row r="193">
      <c r="A193" s="4" t="inlineStr">
        <is>
          <t>CLM-101330</t>
        </is>
      </c>
      <c r="B193" s="4" t="inlineStr">
        <is>
          <t>4342063</t>
        </is>
      </c>
      <c r="C193" s="4" t="inlineStr">
        <is>
          <t>Vale Motors Group</t>
        </is>
      </c>
      <c r="D193" s="9" t="n">
        <v>45719</v>
      </c>
      <c r="E193" s="9" t="n">
        <v>46083</v>
      </c>
      <c r="F193" s="4" t="n">
        <v>100000</v>
      </c>
      <c r="G193" s="9" t="n">
        <v>45725</v>
      </c>
      <c r="H193" s="9" t="n">
        <v>45745</v>
      </c>
      <c r="I193" s="4" t="inlineStr">
        <is>
          <t>Open</t>
        </is>
      </c>
      <c r="J193" s="4" t="inlineStr">
        <is>
          <t>GBP</t>
        </is>
      </c>
      <c r="K193" s="4" t="n">
        <v>8047.64</v>
      </c>
      <c r="L193" s="4" t="n">
        <v>7849.56</v>
      </c>
      <c r="M193" s="4" t="n">
        <v>15897.2</v>
      </c>
      <c r="N193" s="4" t="inlineStr">
        <is>
          <t>OK</t>
        </is>
      </c>
    </row>
    <row r="194">
      <c r="A194" s="4" t="inlineStr">
        <is>
          <t>CLM-101337</t>
        </is>
      </c>
      <c r="B194" s="4" t="inlineStr">
        <is>
          <t>4892453</t>
        </is>
      </c>
      <c r="C194" s="4" t="inlineStr">
        <is>
          <t>Norland Pharmacy Group</t>
        </is>
      </c>
      <c r="D194" s="9" t="n">
        <v>45823</v>
      </c>
      <c r="E194" s="9" t="n">
        <v>46187</v>
      </c>
      <c r="F194" s="4" t="n">
        <v>100000</v>
      </c>
      <c r="G194" s="9" t="n">
        <v>45884</v>
      </c>
      <c r="H194" s="9" t="n">
        <v>45905</v>
      </c>
      <c r="I194" s="4" t="inlineStr">
        <is>
          <t>Closed</t>
        </is>
      </c>
      <c r="J194" s="4" t="inlineStr">
        <is>
          <t>EUR</t>
        </is>
      </c>
      <c r="K194" s="4" t="n">
        <v>18088.58</v>
      </c>
      <c r="L194" s="4" t="n">
        <v>0</v>
      </c>
      <c r="M194" s="4" t="n">
        <v>18088.58</v>
      </c>
      <c r="N194" s="4" t="inlineStr">
        <is>
          <t>OK</t>
        </is>
      </c>
    </row>
    <row r="195">
      <c r="A195" s="4" t="inlineStr">
        <is>
          <t>CLM-101344</t>
        </is>
      </c>
      <c r="B195" s="4" t="inlineStr">
        <is>
          <t>4814675</t>
        </is>
      </c>
      <c r="C195" s="4" t="inlineStr">
        <is>
          <t>Larkspur Haulage Holdings</t>
        </is>
      </c>
      <c r="D195" s="9" t="n">
        <v>45976</v>
      </c>
      <c r="E195" s="9" t="n">
        <v>46340</v>
      </c>
      <c r="F195" s="4" t="n">
        <v>1000000</v>
      </c>
      <c r="G195" s="9" t="n">
        <v>46240</v>
      </c>
      <c r="H195" s="9" t="n">
        <v>46242</v>
      </c>
      <c r="I195" s="4" t="inlineStr">
        <is>
          <t>Closed</t>
        </is>
      </c>
      <c r="J195" s="4" t="inlineStr">
        <is>
          <t>GBP</t>
        </is>
      </c>
      <c r="K195" s="4" t="n">
        <v>37104.87</v>
      </c>
      <c r="L195" s="4" t="n">
        <v>0</v>
      </c>
      <c r="M195" s="4" t="n">
        <v>37104.87</v>
      </c>
      <c r="N195" s="4" t="inlineStr">
        <is>
          <t>OK</t>
        </is>
      </c>
    </row>
    <row r="196">
      <c r="A196" s="4" t="inlineStr">
        <is>
          <t>CLM-101351</t>
        </is>
      </c>
      <c r="B196" s="4" t="inlineStr">
        <is>
          <t>4190223</t>
        </is>
      </c>
      <c r="C196" s="4" t="inlineStr">
        <is>
          <t>Pembroke Textiles Limited</t>
        </is>
      </c>
      <c r="D196" s="9" t="n">
        <v>45675</v>
      </c>
      <c r="E196" s="9" t="n">
        <v>46039</v>
      </c>
      <c r="F196" s="4" t="n">
        <v>100000</v>
      </c>
      <c r="G196" s="9" t="n">
        <v>45870</v>
      </c>
      <c r="H196" s="9" t="n">
        <v>45898</v>
      </c>
      <c r="I196" s="4" t="inlineStr">
        <is>
          <t>Open</t>
        </is>
      </c>
      <c r="J196" s="4" t="inlineStr">
        <is>
          <t>GBP</t>
        </is>
      </c>
      <c r="K196" s="4" t="n">
        <v>8680.440000000001</v>
      </c>
      <c r="L196" s="4" t="n">
        <v>37065.13</v>
      </c>
      <c r="M196" s="4" t="n">
        <v>45745.57</v>
      </c>
      <c r="N196" s="4" t="inlineStr">
        <is>
          <t>OK</t>
        </is>
      </c>
    </row>
    <row r="197">
      <c r="A197" s="4" t="inlineStr">
        <is>
          <t>CLM-101358</t>
        </is>
      </c>
      <c r="B197" s="4" t="inlineStr">
        <is>
          <t>4134028</t>
        </is>
      </c>
      <c r="C197" s="4" t="inlineStr">
        <is>
          <t>Hollis Haulage Ltd</t>
        </is>
      </c>
      <c r="D197" s="9" t="n">
        <v>45674</v>
      </c>
      <c r="E197" s="9" t="n">
        <v>46038</v>
      </c>
      <c r="F197" s="4" t="n">
        <v>250000</v>
      </c>
      <c r="G197" s="9" t="n">
        <v>45974</v>
      </c>
      <c r="H197" s="9" t="n">
        <v>46011</v>
      </c>
      <c r="I197" s="4" t="inlineStr">
        <is>
          <t>Open</t>
        </is>
      </c>
      <c r="J197" s="4" t="inlineStr">
        <is>
          <t>GBP</t>
        </is>
      </c>
      <c r="K197" s="4" t="n">
        <v>39552.13</v>
      </c>
      <c r="L197" s="4" t="n">
        <v>75223.11</v>
      </c>
      <c r="M197" s="4" t="n">
        <v>114775.24</v>
      </c>
      <c r="N197" s="4" t="inlineStr">
        <is>
          <t>OK</t>
        </is>
      </c>
    </row>
    <row r="198">
      <c r="A198" s="4" t="inlineStr">
        <is>
          <t>CLM-101365</t>
        </is>
      </c>
      <c r="B198" s="4" t="inlineStr">
        <is>
          <t>4838080</t>
        </is>
      </c>
      <c r="C198" s="4" t="inlineStr">
        <is>
          <t>Vale Joinery Ltd</t>
        </is>
      </c>
      <c r="D198" s="9" t="n">
        <v>45714</v>
      </c>
      <c r="E198" s="9" t="n">
        <v>46078</v>
      </c>
      <c r="F198" s="4" t="n">
        <v>100000</v>
      </c>
      <c r="G198" s="9" t="n">
        <v>45807</v>
      </c>
      <c r="H198" s="9" t="n">
        <v>45831</v>
      </c>
      <c r="I198" s="4" t="inlineStr">
        <is>
          <t>Reopened</t>
        </is>
      </c>
      <c r="J198" s="4" t="inlineStr">
        <is>
          <t>GBP</t>
        </is>
      </c>
      <c r="K198" s="4" t="n">
        <v>32943.1</v>
      </c>
      <c r="L198" s="4" t="n">
        <v>29496.63</v>
      </c>
      <c r="M198" s="4" t="n">
        <v>62439.73</v>
      </c>
      <c r="N198" s="4" t="inlineStr">
        <is>
          <t>OK</t>
        </is>
      </c>
    </row>
    <row r="199">
      <c r="A199" s="4" t="inlineStr">
        <is>
          <t>CLM-101372</t>
        </is>
      </c>
      <c r="B199" s="4" t="inlineStr">
        <is>
          <t>4636597</t>
        </is>
      </c>
      <c r="C199" s="4" t="inlineStr">
        <is>
          <t>Vale Electrical Limited</t>
        </is>
      </c>
      <c r="D199" s="9" t="n">
        <v>45892</v>
      </c>
      <c r="E199" s="9" t="n">
        <v>46256</v>
      </c>
      <c r="F199" s="4" t="n">
        <v>250000</v>
      </c>
      <c r="G199" s="9" t="n">
        <v>46028</v>
      </c>
      <c r="H199" s="9" t="n">
        <v>46065</v>
      </c>
      <c r="I199" s="4" t="inlineStr">
        <is>
          <t>Open</t>
        </is>
      </c>
      <c r="J199" s="4" t="inlineStr">
        <is>
          <t>GBP</t>
        </is>
      </c>
      <c r="K199" s="4" t="n">
        <v>1474.23</v>
      </c>
      <c r="L199" s="4" t="n">
        <v>52063.66</v>
      </c>
      <c r="M199" s="4" t="n">
        <v>53537.89</v>
      </c>
      <c r="N199" s="4" t="inlineStr">
        <is>
          <t>OK</t>
        </is>
      </c>
    </row>
    <row r="200">
      <c r="A200" s="4" t="inlineStr">
        <is>
          <t>CLM-101379</t>
        </is>
      </c>
      <c r="B200" s="4" t="inlineStr">
        <is>
          <t>4345599</t>
        </is>
      </c>
      <c r="C200" s="4" t="inlineStr">
        <is>
          <t>Pembroke Hotels Group</t>
        </is>
      </c>
      <c r="D200" s="9" t="n">
        <v>45887</v>
      </c>
      <c r="E200" s="9" t="n">
        <v>46251</v>
      </c>
      <c r="F200" s="4" t="n">
        <v>500000</v>
      </c>
      <c r="G200" s="9" t="n">
        <v>45968</v>
      </c>
      <c r="H200" s="9" t="n">
        <v>45969</v>
      </c>
      <c r="I200" s="4" t="inlineStr">
        <is>
          <t>Open</t>
        </is>
      </c>
      <c r="J200" s="4" t="inlineStr">
        <is>
          <t>EUR</t>
        </is>
      </c>
      <c r="K200" s="4" t="n">
        <v>33670.71</v>
      </c>
      <c r="L200" s="4" t="n">
        <v>74056.11</v>
      </c>
      <c r="M200" s="4" t="n">
        <v>107726.82</v>
      </c>
      <c r="N200" s="4" t="inlineStr">
        <is>
          <t>OK</t>
        </is>
      </c>
    </row>
    <row r="201">
      <c r="A201" s="4" t="inlineStr">
        <is>
          <t>CLM-101386</t>
        </is>
      </c>
      <c r="B201" s="4" t="inlineStr">
        <is>
          <t>4687068</t>
        </is>
      </c>
      <c r="C201" s="4" t="inlineStr">
        <is>
          <t>Larkspur Dental &amp; Sons</t>
        </is>
      </c>
      <c r="D201" s="9" t="n">
        <v>45937</v>
      </c>
      <c r="E201" s="9" t="n">
        <v>46301</v>
      </c>
      <c r="F201" s="4" t="n">
        <v>500000</v>
      </c>
      <c r="G201" s="9" t="n">
        <v>46101</v>
      </c>
      <c r="H201" s="9" t="n">
        <v>46133</v>
      </c>
      <c r="I201" s="4" t="inlineStr">
        <is>
          <t>Closed</t>
        </is>
      </c>
      <c r="J201" s="4" t="inlineStr">
        <is>
          <t>USD</t>
        </is>
      </c>
      <c r="K201" s="4" t="n">
        <v>48948.75</v>
      </c>
      <c r="L201" s="4" t="n">
        <v>0</v>
      </c>
      <c r="M201" s="4" t="n">
        <v>48948.75</v>
      </c>
      <c r="N201" s="4" t="inlineStr">
        <is>
          <t>OK</t>
        </is>
      </c>
    </row>
    <row r="202">
      <c r="A202" s="4" t="inlineStr">
        <is>
          <t>CLM-101393</t>
        </is>
      </c>
      <c r="B202" s="4" t="inlineStr">
        <is>
          <t>4386774</t>
        </is>
      </c>
      <c r="C202" s="4" t="inlineStr">
        <is>
          <t>Norland Freight Ltd</t>
        </is>
      </c>
      <c r="D202" s="9" t="n">
        <v>45958</v>
      </c>
      <c r="E202" s="9" t="n">
        <v>46322</v>
      </c>
      <c r="F202" s="4" t="n">
        <v>500000</v>
      </c>
      <c r="G202" s="9" t="n">
        <v>46096</v>
      </c>
      <c r="H202" s="9" t="n">
        <v>46136</v>
      </c>
      <c r="I202" s="4" t="inlineStr">
        <is>
          <t>Open</t>
        </is>
      </c>
      <c r="J202" s="4" t="inlineStr">
        <is>
          <t>GBP</t>
        </is>
      </c>
      <c r="K202" s="4" t="n">
        <v>45451.67</v>
      </c>
      <c r="L202" s="4" t="n">
        <v>68759.60000000001</v>
      </c>
      <c r="M202" s="4" t="n">
        <v>114211.27</v>
      </c>
      <c r="N202" s="4" t="inlineStr">
        <is>
          <t>OK</t>
        </is>
      </c>
    </row>
    <row r="203">
      <c r="A203" s="4" t="inlineStr">
        <is>
          <t>CLM-101400</t>
        </is>
      </c>
      <c r="B203" s="4" t="inlineStr">
        <is>
          <t>4538767</t>
        </is>
      </c>
      <c r="C203" s="4" t="inlineStr">
        <is>
          <t>Harbour Motors Holdings</t>
        </is>
      </c>
      <c r="D203" s="9" t="n">
        <v>45863</v>
      </c>
      <c r="E203" s="9" t="n">
        <v>46227</v>
      </c>
      <c r="F203" s="4" t="n">
        <v>100000</v>
      </c>
      <c r="G203" s="9" t="n">
        <v>46187</v>
      </c>
      <c r="H203" s="9" t="n">
        <v>46212</v>
      </c>
      <c r="I203" s="4" t="inlineStr">
        <is>
          <t>Open</t>
        </is>
      </c>
      <c r="J203" s="4" t="inlineStr">
        <is>
          <t>GBP</t>
        </is>
      </c>
      <c r="K203" s="4" t="n">
        <v>30263.82</v>
      </c>
      <c r="L203" s="4" t="n">
        <v>16719.28</v>
      </c>
      <c r="M203" s="4" t="n">
        <v>46983.1</v>
      </c>
      <c r="N203" s="4" t="inlineStr">
        <is>
          <t>OK</t>
        </is>
      </c>
    </row>
    <row r="204">
      <c r="A204" s="4" t="inlineStr">
        <is>
          <t>CLM-101407</t>
        </is>
      </c>
      <c r="B204" s="4" t="inlineStr">
        <is>
          <t>4215129</t>
        </is>
      </c>
      <c r="C204" s="4" t="inlineStr">
        <is>
          <t>Ballina Farms Holdings</t>
        </is>
      </c>
      <c r="D204" s="9" t="n">
        <v>45995</v>
      </c>
      <c r="E204" s="9" t="n">
        <v>46359</v>
      </c>
      <c r="F204" s="4" t="n">
        <v>1000000</v>
      </c>
      <c r="G204" s="9" t="n">
        <v>46230</v>
      </c>
      <c r="H204" s="9" t="n">
        <v>46266</v>
      </c>
      <c r="I204" s="4" t="inlineStr">
        <is>
          <t>Open</t>
        </is>
      </c>
      <c r="J204" s="4" t="inlineStr">
        <is>
          <t>EUR</t>
        </is>
      </c>
      <c r="K204" s="4" t="n">
        <v>19795.65</v>
      </c>
      <c r="L204" s="4" t="n">
        <v>29265.66</v>
      </c>
      <c r="M204" s="4" t="n">
        <v>49061.31</v>
      </c>
      <c r="N204" s="4" t="inlineStr">
        <is>
          <t>OK</t>
        </is>
      </c>
    </row>
    <row r="205">
      <c r="A205" s="4" t="inlineStr">
        <is>
          <t>CLM-101414</t>
        </is>
      </c>
      <c r="B205" s="4" t="inlineStr">
        <is>
          <t>4283482</t>
        </is>
      </c>
      <c r="C205" s="4" t="inlineStr">
        <is>
          <t>Brennan Motors Ltd</t>
        </is>
      </c>
      <c r="D205" s="9" t="n">
        <v>45762</v>
      </c>
      <c r="E205" s="9" t="n">
        <v>46126</v>
      </c>
      <c r="F205" s="4" t="n">
        <v>1000000</v>
      </c>
      <c r="G205" s="9" t="n">
        <v>45819</v>
      </c>
      <c r="H205" s="9" t="n">
        <v>45859</v>
      </c>
      <c r="I205" s="4" t="inlineStr">
        <is>
          <t>Open</t>
        </is>
      </c>
      <c r="J205" s="4" t="inlineStr">
        <is>
          <t>GBP</t>
        </is>
      </c>
      <c r="K205" s="4" t="n">
        <v>24144.07</v>
      </c>
      <c r="L205" s="4" t="n">
        <v>27476.63</v>
      </c>
      <c r="M205" s="4" t="n">
        <v>51620.7</v>
      </c>
      <c r="N205" s="4" t="inlineStr">
        <is>
          <t>OK</t>
        </is>
      </c>
    </row>
    <row r="206">
      <c r="A206" s="4" t="inlineStr">
        <is>
          <t>CLM-101421</t>
        </is>
      </c>
      <c r="B206" s="4" t="inlineStr">
        <is>
          <t>4849504</t>
        </is>
      </c>
      <c r="C206" s="4" t="inlineStr">
        <is>
          <t>Harbour Freight Group</t>
        </is>
      </c>
      <c r="D206" s="9" t="n">
        <v>45723</v>
      </c>
      <c r="E206" s="9" t="n">
        <v>46087</v>
      </c>
      <c r="F206" s="4" t="n">
        <v>1000000</v>
      </c>
      <c r="G206" s="9" t="n">
        <v>45866</v>
      </c>
      <c r="H206" s="9" t="n">
        <v>45878</v>
      </c>
      <c r="I206" s="4" t="inlineStr">
        <is>
          <t>Open</t>
        </is>
      </c>
      <c r="J206" s="4" t="inlineStr">
        <is>
          <t>GBP</t>
        </is>
      </c>
      <c r="K206" s="4" t="n">
        <v>3198.46</v>
      </c>
      <c r="L206" s="4" t="n">
        <v>16826.48</v>
      </c>
      <c r="M206" s="4" t="n">
        <v>20024.94</v>
      </c>
      <c r="N206" s="4" t="inlineStr">
        <is>
          <t>OK</t>
        </is>
      </c>
    </row>
    <row r="207">
      <c r="A207" s="4" t="inlineStr">
        <is>
          <t>CLM-101428</t>
        </is>
      </c>
      <c r="B207" s="4" t="inlineStr">
        <is>
          <t>4197929</t>
        </is>
      </c>
      <c r="C207" s="4" t="inlineStr">
        <is>
          <t>Northcote Dental LLP</t>
        </is>
      </c>
      <c r="D207" s="9" t="n">
        <v>45949</v>
      </c>
      <c r="E207" s="9" t="n">
        <v>46313</v>
      </c>
      <c r="F207" s="4" t="n">
        <v>500000</v>
      </c>
      <c r="G207" s="9" t="n">
        <v>46274</v>
      </c>
      <c r="H207" s="9" t="n">
        <v>46276</v>
      </c>
      <c r="I207" s="4" t="inlineStr">
        <is>
          <t>Reopened</t>
        </is>
      </c>
      <c r="J207" s="4" t="inlineStr">
        <is>
          <t>GBP</t>
        </is>
      </c>
      <c r="K207" s="4" t="n">
        <v>15173.2</v>
      </c>
      <c r="L207" s="4" t="n">
        <v>41653.32</v>
      </c>
      <c r="M207" s="4" t="n">
        <v>56826.52</v>
      </c>
      <c r="N207" s="4" t="inlineStr">
        <is>
          <t>OK</t>
        </is>
      </c>
    </row>
    <row r="208">
      <c r="A208" s="4" t="inlineStr">
        <is>
          <t>CLM-101435</t>
        </is>
      </c>
      <c r="B208" s="4" t="inlineStr">
        <is>
          <t>4630057</t>
        </is>
      </c>
      <c r="C208" s="4" t="inlineStr">
        <is>
          <t>Pembroke Motors Ltd</t>
        </is>
      </c>
      <c r="D208" s="9" t="n">
        <v>45940</v>
      </c>
      <c r="E208" s="9" t="n">
        <v>46304</v>
      </c>
      <c r="F208" s="4" t="n">
        <v>500000</v>
      </c>
      <c r="G208" s="9" t="n">
        <v>46109</v>
      </c>
      <c r="H208" s="9" t="n">
        <v>46129</v>
      </c>
      <c r="I208" s="4" t="inlineStr">
        <is>
          <t>Open</t>
        </is>
      </c>
      <c r="J208" s="4" t="inlineStr">
        <is>
          <t>USD</t>
        </is>
      </c>
      <c r="K208" s="4" t="n">
        <v>8635.51</v>
      </c>
      <c r="L208" s="4" t="n">
        <v>2253.27</v>
      </c>
      <c r="M208" s="4" t="n">
        <v>10888.78</v>
      </c>
      <c r="N208" s="4" t="inlineStr">
        <is>
          <t>OK</t>
        </is>
      </c>
    </row>
    <row r="209">
      <c r="A209" s="4" t="inlineStr">
        <is>
          <t>CLM-101442</t>
        </is>
      </c>
      <c r="B209" s="4" t="inlineStr">
        <is>
          <t>4054345</t>
        </is>
      </c>
      <c r="C209" s="4" t="inlineStr">
        <is>
          <t>Quarry Freight Ltd</t>
        </is>
      </c>
      <c r="D209" s="9" t="n">
        <v>45842</v>
      </c>
      <c r="E209" s="9" t="n">
        <v>46206</v>
      </c>
      <c r="F209" s="4" t="n">
        <v>250000</v>
      </c>
      <c r="G209" s="9" t="n">
        <v>45890</v>
      </c>
      <c r="H209" s="9" t="n">
        <v>45899</v>
      </c>
      <c r="I209" s="4" t="inlineStr">
        <is>
          <t>Reopened</t>
        </is>
      </c>
      <c r="J209" s="4" t="inlineStr">
        <is>
          <t>USD</t>
        </is>
      </c>
      <c r="K209" s="4" t="n">
        <v>54552.35</v>
      </c>
      <c r="L209" s="4" t="n">
        <v>45275.93</v>
      </c>
      <c r="M209" s="4" t="n">
        <v>99828.28</v>
      </c>
      <c r="N209" s="4" t="inlineStr">
        <is>
          <t>OK</t>
        </is>
      </c>
    </row>
    <row r="210">
      <c r="A210" s="4" t="inlineStr">
        <is>
          <t>CLM-101449</t>
        </is>
      </c>
      <c r="B210" s="4" t="inlineStr">
        <is>
          <t>4595700</t>
        </is>
      </c>
      <c r="C210" s="4" t="inlineStr">
        <is>
          <t>Calder Engineering Holdings</t>
        </is>
      </c>
      <c r="D210" s="9" t="n">
        <v>45789</v>
      </c>
      <c r="E210" s="9" t="n">
        <v>46153</v>
      </c>
      <c r="F210" s="4" t="n">
        <v>1000000</v>
      </c>
      <c r="G210" s="9" t="n">
        <v>45994</v>
      </c>
      <c r="H210" s="9" t="n">
        <v>46028</v>
      </c>
      <c r="I210" s="4" t="inlineStr">
        <is>
          <t>Open</t>
        </is>
      </c>
      <c r="J210" s="4" t="inlineStr">
        <is>
          <t>GBP</t>
        </is>
      </c>
      <c r="K210" s="4" t="n">
        <v>40588.63</v>
      </c>
      <c r="L210" s="4" t="n">
        <v>14940.18</v>
      </c>
      <c r="M210" s="4" t="n">
        <v>55528.81</v>
      </c>
      <c r="N210" s="4" t="inlineStr">
        <is>
          <t>OK</t>
        </is>
      </c>
    </row>
    <row r="211">
      <c r="A211" s="4" t="inlineStr">
        <is>
          <t>CLM-101456</t>
        </is>
      </c>
      <c r="B211" s="4" t="inlineStr">
        <is>
          <t>4210892</t>
        </is>
      </c>
      <c r="C211" s="4" t="inlineStr">
        <is>
          <t>Juniper Builders Group</t>
        </is>
      </c>
      <c r="D211" s="9" t="n">
        <v>45698</v>
      </c>
      <c r="E211" s="9" t="n">
        <v>46062</v>
      </c>
      <c r="F211" s="4" t="n">
        <v>250000</v>
      </c>
      <c r="G211" s="9" t="n">
        <v>45998</v>
      </c>
      <c r="H211" s="9" t="n">
        <v>46015</v>
      </c>
      <c r="I211" s="4" t="inlineStr">
        <is>
          <t>Open</t>
        </is>
      </c>
      <c r="J211" s="4" t="inlineStr">
        <is>
          <t>USD</t>
        </is>
      </c>
      <c r="K211" s="4" t="n">
        <v>53779.92</v>
      </c>
      <c r="L211" s="4" t="n">
        <v>28681.14</v>
      </c>
      <c r="M211" s="4" t="n">
        <v>82461.06</v>
      </c>
      <c r="N211" s="4" t="inlineStr">
        <is>
          <t>OK</t>
        </is>
      </c>
    </row>
    <row r="212">
      <c r="A212" s="4" t="inlineStr">
        <is>
          <t>CLM-101463</t>
        </is>
      </c>
      <c r="B212" s="4" t="inlineStr">
        <is>
          <t>4712853</t>
        </is>
      </c>
      <c r="C212" s="4" t="inlineStr">
        <is>
          <t>Ashby Bakery Limited</t>
        </is>
      </c>
      <c r="D212" s="9" t="n">
        <v>45735</v>
      </c>
      <c r="E212" s="9" t="n">
        <v>46099</v>
      </c>
      <c r="F212" s="4" t="n">
        <v>100000</v>
      </c>
      <c r="G212" s="9" t="n">
        <v>46030</v>
      </c>
      <c r="H212" s="9" t="n">
        <v>46070</v>
      </c>
      <c r="I212" s="4" t="inlineStr">
        <is>
          <t>Open</t>
        </is>
      </c>
      <c r="J212" s="4" t="inlineStr">
        <is>
          <t>USD</t>
        </is>
      </c>
      <c r="K212" s="4" t="n">
        <v>40298.83</v>
      </c>
      <c r="L212" s="4" t="n">
        <v>19429.54</v>
      </c>
      <c r="M212" s="4" t="n">
        <v>59728.37</v>
      </c>
      <c r="N212" s="4" t="inlineStr">
        <is>
          <t>OK</t>
        </is>
      </c>
    </row>
    <row r="213">
      <c r="A213" s="4" t="inlineStr">
        <is>
          <t>CLM-101470</t>
        </is>
      </c>
      <c r="B213" s="4" t="inlineStr">
        <is>
          <t>4687416</t>
        </is>
      </c>
      <c r="C213" s="4" t="inlineStr">
        <is>
          <t>Vale Garages &amp; Sons</t>
        </is>
      </c>
      <c r="D213" s="9" t="n">
        <v>45720</v>
      </c>
      <c r="E213" s="9" t="n">
        <v>46084</v>
      </c>
      <c r="F213" s="4" t="n">
        <v>100000</v>
      </c>
      <c r="G213" s="9" t="n">
        <v>45958</v>
      </c>
      <c r="H213" s="9" t="n">
        <v>45973</v>
      </c>
      <c r="I213" s="4" t="inlineStr">
        <is>
          <t>Open</t>
        </is>
      </c>
      <c r="J213" s="4" t="inlineStr">
        <is>
          <t>EUR</t>
        </is>
      </c>
      <c r="K213" s="4" t="n">
        <v>35593.66</v>
      </c>
      <c r="L213" s="4" t="n">
        <v>15265.47</v>
      </c>
      <c r="M213" s="4" t="n">
        <v>50859.13</v>
      </c>
      <c r="N213" s="4" t="inlineStr">
        <is>
          <t>OK</t>
        </is>
      </c>
    </row>
    <row r="214">
      <c r="A214" s="4" t="inlineStr">
        <is>
          <t>CLM-101477</t>
        </is>
      </c>
      <c r="B214" s="4" t="inlineStr">
        <is>
          <t>4263610</t>
        </is>
      </c>
      <c r="C214" s="4" t="inlineStr">
        <is>
          <t>Selby Farms Holdings</t>
        </is>
      </c>
      <c r="D214" s="9" t="n">
        <v>45707</v>
      </c>
      <c r="E214" s="9" t="n">
        <v>46071</v>
      </c>
      <c r="F214" s="4" t="n">
        <v>500000</v>
      </c>
      <c r="G214" s="9" t="n">
        <v>45982</v>
      </c>
      <c r="H214" s="9" t="n">
        <v>46018</v>
      </c>
      <c r="I214" s="4" t="inlineStr">
        <is>
          <t>Open</t>
        </is>
      </c>
      <c r="J214" s="4" t="inlineStr">
        <is>
          <t>USD</t>
        </is>
      </c>
      <c r="K214" s="4" t="n">
        <v>50548.74</v>
      </c>
      <c r="L214" s="4" t="n">
        <v>75599.67999999999</v>
      </c>
      <c r="M214" s="4" t="n">
        <v>126148.42</v>
      </c>
      <c r="N214" s="4" t="inlineStr">
        <is>
          <t>OK</t>
        </is>
      </c>
    </row>
    <row r="215">
      <c r="A215" s="4" t="inlineStr">
        <is>
          <t>CLM-101484</t>
        </is>
      </c>
      <c r="B215" s="4" t="inlineStr">
        <is>
          <t>4826927</t>
        </is>
      </c>
      <c r="C215" s="4" t="inlineStr">
        <is>
          <t>Quarry Engineering Limited</t>
        </is>
      </c>
      <c r="D215" s="9" t="n">
        <v>45696</v>
      </c>
      <c r="E215" s="9" t="n">
        <v>46060</v>
      </c>
      <c r="F215" s="4" t="n">
        <v>500000</v>
      </c>
      <c r="G215" s="9" t="n">
        <v>46002</v>
      </c>
      <c r="H215" s="9" t="n">
        <v>46016</v>
      </c>
      <c r="I215" s="4" t="inlineStr">
        <is>
          <t>Open</t>
        </is>
      </c>
      <c r="J215" s="4" t="inlineStr">
        <is>
          <t>USD</t>
        </is>
      </c>
      <c r="K215" s="4" t="n">
        <v>12862.8</v>
      </c>
      <c r="L215" s="4" t="n">
        <v>33808.45</v>
      </c>
      <c r="M215" s="4" t="n">
        <v>46671.25</v>
      </c>
      <c r="N215" s="4" t="inlineStr">
        <is>
          <t>OK</t>
        </is>
      </c>
    </row>
    <row r="216">
      <c r="A216" s="4" t="inlineStr">
        <is>
          <t>CLM-101491</t>
        </is>
      </c>
      <c r="B216" s="4" t="inlineStr">
        <is>
          <t>4515419</t>
        </is>
      </c>
      <c r="C216" s="4" t="inlineStr">
        <is>
          <t>Brennan Textiles Group</t>
        </is>
      </c>
      <c r="D216" s="9" t="n">
        <v>45732</v>
      </c>
      <c r="E216" s="9" t="n">
        <v>46096</v>
      </c>
      <c r="F216" s="4" t="n">
        <v>100000</v>
      </c>
      <c r="G216" s="9" t="n">
        <v>46029</v>
      </c>
      <c r="H216" s="9" t="n">
        <v>46049</v>
      </c>
      <c r="I216" s="4" t="inlineStr">
        <is>
          <t>Open</t>
        </is>
      </c>
      <c r="J216" s="4" t="inlineStr">
        <is>
          <t>GBP</t>
        </is>
      </c>
      <c r="K216" s="4" t="n">
        <v>22600.9</v>
      </c>
      <c r="L216" s="4" t="n">
        <v>2255.41</v>
      </c>
      <c r="M216" s="4" t="n">
        <v>24856.31</v>
      </c>
      <c r="N216" s="4" t="inlineStr">
        <is>
          <t>OK</t>
        </is>
      </c>
    </row>
    <row r="217">
      <c r="A217" s="4" t="inlineStr">
        <is>
          <t>CLM-101498</t>
        </is>
      </c>
      <c r="B217" s="4" t="inlineStr">
        <is>
          <t>4744892</t>
        </is>
      </c>
      <c r="C217" s="4" t="inlineStr">
        <is>
          <t>Inglewood Dental &amp; Sons</t>
        </is>
      </c>
      <c r="D217" s="9" t="n">
        <v>46006</v>
      </c>
      <c r="E217" s="9" t="n">
        <v>46370</v>
      </c>
      <c r="F217" s="4" t="n">
        <v>1000000</v>
      </c>
      <c r="G217" s="9" t="n">
        <v>46208</v>
      </c>
      <c r="H217" s="9" t="n">
        <v>46239</v>
      </c>
      <c r="I217" s="4" t="inlineStr">
        <is>
          <t>Open</t>
        </is>
      </c>
      <c r="J217" s="4" t="inlineStr">
        <is>
          <t>GBP</t>
        </is>
      </c>
      <c r="K217" s="4" t="n">
        <v>30902.2</v>
      </c>
      <c r="L217" s="4" t="n">
        <v>16861.45</v>
      </c>
      <c r="M217" s="4" t="n">
        <v>47763.65</v>
      </c>
      <c r="N217" s="4" t="inlineStr">
        <is>
          <t>OK</t>
        </is>
      </c>
    </row>
    <row r="218">
      <c r="A218" s="4" t="inlineStr">
        <is>
          <t>CLM-101505</t>
        </is>
      </c>
      <c r="B218" s="4" t="inlineStr">
        <is>
          <t>4077513</t>
        </is>
      </c>
      <c r="C218" s="4" t="inlineStr">
        <is>
          <t>Westbury Farms LLP</t>
        </is>
      </c>
      <c r="D218" s="9" t="n">
        <v>45782</v>
      </c>
      <c r="E218" s="9" t="n">
        <v>46146</v>
      </c>
      <c r="F218" s="4" t="n">
        <v>1000000</v>
      </c>
      <c r="G218" s="9" t="n">
        <v>45966</v>
      </c>
      <c r="H218" s="9" t="n">
        <v>45974</v>
      </c>
      <c r="I218" s="4" t="inlineStr">
        <is>
          <t>Open</t>
        </is>
      </c>
      <c r="J218" s="4" t="inlineStr">
        <is>
          <t>USD</t>
        </is>
      </c>
      <c r="K218" s="4" t="n">
        <v>52092.17</v>
      </c>
      <c r="L218" s="4" t="n">
        <v>77908.83</v>
      </c>
      <c r="M218" s="4" t="n">
        <v>130001</v>
      </c>
      <c r="N218" s="4" t="inlineStr">
        <is>
          <t>OK</t>
        </is>
      </c>
    </row>
    <row r="219">
      <c r="A219" s="4" t="inlineStr">
        <is>
          <t>CLM-101512</t>
        </is>
      </c>
      <c r="B219" s="4" t="inlineStr">
        <is>
          <t>4559683</t>
        </is>
      </c>
      <c r="C219" s="4" t="inlineStr">
        <is>
          <t>Ballina Print Ltd</t>
        </is>
      </c>
      <c r="D219" s="9" t="n">
        <v>45995</v>
      </c>
      <c r="E219" s="9" t="n">
        <v>46359</v>
      </c>
      <c r="F219" s="4" t="n">
        <v>500000</v>
      </c>
      <c r="G219" s="9" t="n">
        <v>46165</v>
      </c>
      <c r="H219" s="9" t="n">
        <v>46183</v>
      </c>
      <c r="I219" s="4" t="inlineStr">
        <is>
          <t>Closed</t>
        </is>
      </c>
      <c r="J219" s="4" t="inlineStr">
        <is>
          <t>EUR</t>
        </is>
      </c>
      <c r="K219" s="4" t="n">
        <v>30922.56</v>
      </c>
      <c r="L219" s="4" t="n">
        <v>0</v>
      </c>
      <c r="M219" s="4" t="n">
        <v>30922.56</v>
      </c>
      <c r="N219" s="4" t="inlineStr">
        <is>
          <t>OK</t>
        </is>
      </c>
    </row>
    <row r="220">
      <c r="A220" s="4" t="inlineStr">
        <is>
          <t>CLM-101519</t>
        </is>
      </c>
      <c r="B220" s="4" t="inlineStr">
        <is>
          <t>4551195</t>
        </is>
      </c>
      <c r="C220" s="4" t="inlineStr">
        <is>
          <t>Norland Haulage Holdings</t>
        </is>
      </c>
      <c r="D220" s="9" t="n">
        <v>45894</v>
      </c>
      <c r="E220" s="9" t="n">
        <v>46258</v>
      </c>
      <c r="F220" s="4" t="n">
        <v>1000000</v>
      </c>
      <c r="G220" s="9" t="n">
        <v>46031</v>
      </c>
      <c r="H220" s="9" t="n">
        <v>46063</v>
      </c>
      <c r="I220" s="4" t="inlineStr">
        <is>
          <t>Closed</t>
        </is>
      </c>
      <c r="J220" s="4" t="inlineStr">
        <is>
          <t>EUR</t>
        </is>
      </c>
      <c r="K220" s="4" t="n">
        <v>36121.95</v>
      </c>
      <c r="L220" s="4" t="n">
        <v>0</v>
      </c>
      <c r="M220" s="4" t="n">
        <v>36121.95</v>
      </c>
      <c r="N220" s="4" t="inlineStr">
        <is>
          <t>OK</t>
        </is>
      </c>
    </row>
    <row r="221">
      <c r="A221" s="4" t="inlineStr">
        <is>
          <t>CLM-101526</t>
        </is>
      </c>
      <c r="B221" s="4" t="inlineStr">
        <is>
          <t>4064804</t>
        </is>
      </c>
      <c r="C221" s="4" t="inlineStr">
        <is>
          <t>Inglewood Motors Ltd</t>
        </is>
      </c>
      <c r="D221" s="9" t="n">
        <v>45955</v>
      </c>
      <c r="E221" s="9" t="n">
        <v>46319</v>
      </c>
      <c r="F221" s="4" t="n">
        <v>500000</v>
      </c>
      <c r="G221" s="9" t="n">
        <v>46089</v>
      </c>
      <c r="H221" s="9" t="n">
        <v>46099</v>
      </c>
      <c r="I221" s="4" t="inlineStr">
        <is>
          <t>Open</t>
        </is>
      </c>
      <c r="J221" s="4" t="inlineStr">
        <is>
          <t>GBP</t>
        </is>
      </c>
      <c r="K221" s="4" t="n">
        <v>51935.53</v>
      </c>
      <c r="L221" s="4" t="n">
        <v>46832.34</v>
      </c>
      <c r="M221" s="4" t="n">
        <v>98767.87</v>
      </c>
      <c r="N221" s="4" t="inlineStr">
        <is>
          <t>OK</t>
        </is>
      </c>
    </row>
    <row r="222">
      <c r="A222" s="4" t="inlineStr">
        <is>
          <t>CLM-101533</t>
        </is>
      </c>
      <c r="B222" s="4" t="inlineStr">
        <is>
          <t>4883935</t>
        </is>
      </c>
      <c r="C222" s="4" t="inlineStr">
        <is>
          <t>Ashby Freight Ltd</t>
        </is>
      </c>
      <c r="D222" s="9" t="n">
        <v>45738</v>
      </c>
      <c r="E222" s="9" t="n">
        <v>46102</v>
      </c>
      <c r="F222" s="4" t="n">
        <v>100000</v>
      </c>
      <c r="G222" s="9" t="n">
        <v>45850</v>
      </c>
      <c r="H222" s="9" t="n">
        <v>45889</v>
      </c>
      <c r="I222" s="4" t="inlineStr">
        <is>
          <t>Open</t>
        </is>
      </c>
      <c r="J222" s="4" t="inlineStr">
        <is>
          <t>GBP</t>
        </is>
      </c>
      <c r="K222" s="4" t="n">
        <v>39487.22</v>
      </c>
      <c r="L222" s="4" t="n">
        <v>16905.02</v>
      </c>
      <c r="M222" s="4" t="n">
        <v>56392.24</v>
      </c>
      <c r="N222" s="4" t="inlineStr">
        <is>
          <t>OK</t>
        </is>
      </c>
    </row>
    <row r="223">
      <c r="A223" s="4" t="inlineStr">
        <is>
          <t>CLM-101540</t>
        </is>
      </c>
      <c r="B223" s="4" t="inlineStr">
        <is>
          <t>4308788</t>
        </is>
      </c>
      <c r="C223" s="4" t="inlineStr">
        <is>
          <t>Ardmore Engineering Ltd</t>
        </is>
      </c>
      <c r="D223" s="9" t="n">
        <v>45732</v>
      </c>
      <c r="E223" s="9" t="n">
        <v>46096</v>
      </c>
      <c r="F223" s="4" t="n">
        <v>1000000</v>
      </c>
      <c r="G223" s="9" t="n">
        <v>45769</v>
      </c>
      <c r="H223" s="9" t="n">
        <v>45771</v>
      </c>
      <c r="I223" s="4" t="inlineStr">
        <is>
          <t>Open</t>
        </is>
      </c>
      <c r="J223" s="4" t="inlineStr">
        <is>
          <t>GBP</t>
        </is>
      </c>
      <c r="K223" s="4" t="n">
        <v>14668.82</v>
      </c>
      <c r="L223" s="4" t="n">
        <v>25926.59</v>
      </c>
      <c r="M223" s="4" t="n">
        <v>40595.41</v>
      </c>
      <c r="N223" s="4" t="inlineStr">
        <is>
          <t>OK</t>
        </is>
      </c>
    </row>
    <row r="224">
      <c r="A224" s="4" t="inlineStr">
        <is>
          <t>CLM-101547</t>
        </is>
      </c>
      <c r="B224" s="4" t="inlineStr">
        <is>
          <t>4040331</t>
        </is>
      </c>
      <c r="C224" s="4" t="inlineStr">
        <is>
          <t>Ballina Dental Holdings</t>
        </is>
      </c>
      <c r="D224" s="9" t="n">
        <v>45885</v>
      </c>
      <c r="E224" s="9" t="n">
        <v>46249</v>
      </c>
      <c r="F224" s="4" t="n">
        <v>500000</v>
      </c>
      <c r="G224" s="9" t="n">
        <v>45961</v>
      </c>
      <c r="H224" s="9" t="n">
        <v>45978</v>
      </c>
      <c r="I224" s="4" t="inlineStr">
        <is>
          <t>Open</t>
        </is>
      </c>
      <c r="J224" s="4" t="inlineStr">
        <is>
          <t>GBP</t>
        </is>
      </c>
      <c r="K224" s="4" t="n">
        <v>21705.7</v>
      </c>
      <c r="L224" s="4" t="n">
        <v>20503.33</v>
      </c>
      <c r="M224" s="4" t="n">
        <v>42209.03</v>
      </c>
      <c r="N224" s="4" t="inlineStr">
        <is>
          <t>OK</t>
        </is>
      </c>
    </row>
    <row r="225">
      <c r="A225" s="4" t="inlineStr">
        <is>
          <t>CLM-101554</t>
        </is>
      </c>
      <c r="B225" s="4" t="inlineStr">
        <is>
          <t>4704572</t>
        </is>
      </c>
      <c r="C225" s="4" t="inlineStr">
        <is>
          <t>Rathmore Farms Limited</t>
        </is>
      </c>
      <c r="D225" s="9" t="n">
        <v>45786</v>
      </c>
      <c r="E225" s="9" t="n">
        <v>46150</v>
      </c>
      <c r="F225" s="4" t="n">
        <v>1000000</v>
      </c>
      <c r="G225" s="9" t="n">
        <v>45916</v>
      </c>
      <c r="H225" s="9" t="n">
        <v>45918</v>
      </c>
      <c r="I225" s="4" t="inlineStr">
        <is>
          <t>Open</t>
        </is>
      </c>
      <c r="J225" s="4" t="inlineStr">
        <is>
          <t>USD</t>
        </is>
      </c>
      <c r="K225" s="4" t="n">
        <v>16236.68</v>
      </c>
      <c r="L225" s="4" t="n">
        <v>54026.18</v>
      </c>
      <c r="M225" s="4" t="n">
        <v>70262.86</v>
      </c>
      <c r="N225" s="4" t="inlineStr">
        <is>
          <t>OK</t>
        </is>
      </c>
    </row>
    <row r="226">
      <c r="A226" s="4" t="inlineStr">
        <is>
          <t>CLM-101561</t>
        </is>
      </c>
      <c r="B226" s="4" t="inlineStr">
        <is>
          <t>4850163</t>
        </is>
      </c>
      <c r="C226" s="4" t="inlineStr">
        <is>
          <t>Kilbride Pharmacy &amp; Sons</t>
        </is>
      </c>
      <c r="D226" s="9" t="n">
        <v>45862</v>
      </c>
      <c r="E226" s="9" t="n">
        <v>46226</v>
      </c>
      <c r="F226" s="4" t="n">
        <v>500000</v>
      </c>
      <c r="G226" s="9" t="n">
        <v>45947</v>
      </c>
      <c r="H226" s="9" t="n">
        <v>45967</v>
      </c>
      <c r="I226" s="4" t="inlineStr">
        <is>
          <t>Closed</t>
        </is>
      </c>
      <c r="J226" s="4" t="inlineStr">
        <is>
          <t>USD</t>
        </is>
      </c>
      <c r="K226" s="4" t="n">
        <v>20053.27</v>
      </c>
      <c r="L226" s="4" t="n">
        <v>0</v>
      </c>
      <c r="M226" s="4" t="n">
        <v>20053.27</v>
      </c>
      <c r="N226" s="4" t="inlineStr">
        <is>
          <t>OK</t>
        </is>
      </c>
    </row>
    <row r="227">
      <c r="A227" s="4" t="inlineStr">
        <is>
          <t>CLM-101568</t>
        </is>
      </c>
      <c r="B227" s="4" t="inlineStr">
        <is>
          <t>4147624</t>
        </is>
      </c>
      <c r="C227" s="4" t="inlineStr">
        <is>
          <t>Quarry Marine &amp; Sons</t>
        </is>
      </c>
      <c r="D227" s="9" t="n">
        <v>45984</v>
      </c>
      <c r="E227" s="9" t="n">
        <v>46348</v>
      </c>
      <c r="F227" s="4" t="n">
        <v>100000</v>
      </c>
      <c r="G227" s="9" t="n">
        <v>46221</v>
      </c>
      <c r="H227" s="9" t="n">
        <v>46222</v>
      </c>
      <c r="I227" s="4" t="inlineStr">
        <is>
          <t>Open</t>
        </is>
      </c>
      <c r="J227" s="4" t="inlineStr">
        <is>
          <t>USD</t>
        </is>
      </c>
      <c r="K227" s="4" t="n">
        <v>40002.93</v>
      </c>
      <c r="L227" s="4" t="n">
        <v>9082.33</v>
      </c>
      <c r="M227" s="4" t="n">
        <v>49085.26</v>
      </c>
      <c r="N227" s="4" t="inlineStr">
        <is>
          <t>OK</t>
        </is>
      </c>
    </row>
    <row r="228">
      <c r="A228" s="4" t="inlineStr">
        <is>
          <t>CLM-101575</t>
        </is>
      </c>
      <c r="B228" s="4" t="inlineStr">
        <is>
          <t>4857516</t>
        </is>
      </c>
      <c r="C228" s="4" t="inlineStr">
        <is>
          <t>Hollis Pharmacy LLP</t>
        </is>
      </c>
      <c r="D228" s="9" t="n">
        <v>45912</v>
      </c>
      <c r="E228" s="9" t="n">
        <v>46276</v>
      </c>
      <c r="F228" s="4" t="n">
        <v>500000</v>
      </c>
      <c r="G228" s="9" t="n">
        <v>46038</v>
      </c>
      <c r="H228" s="9" t="n">
        <v>46060</v>
      </c>
      <c r="I228" s="4" t="inlineStr">
        <is>
          <t>Reopened</t>
        </is>
      </c>
      <c r="J228" s="4" t="inlineStr">
        <is>
          <t>EUR</t>
        </is>
      </c>
      <c r="K228" s="4" t="n">
        <v>51306.53</v>
      </c>
      <c r="L228" s="4" t="n">
        <v>51130.19</v>
      </c>
      <c r="M228" s="4" t="n">
        <v>102436.72</v>
      </c>
      <c r="N228" s="4" t="inlineStr">
        <is>
          <t>OK</t>
        </is>
      </c>
    </row>
    <row r="229">
      <c r="A229" s="4" t="inlineStr">
        <is>
          <t>CLM-101582</t>
        </is>
      </c>
      <c r="B229" s="4" t="inlineStr">
        <is>
          <t>4341156</t>
        </is>
      </c>
      <c r="C229" s="4" t="inlineStr">
        <is>
          <t>Fenwick Motors plc</t>
        </is>
      </c>
      <c r="D229" s="9" t="n">
        <v>45799</v>
      </c>
      <c r="E229" s="9" t="n">
        <v>46163</v>
      </c>
      <c r="F229" s="4" t="n">
        <v>1000000</v>
      </c>
      <c r="G229" s="9" t="n">
        <v>46014</v>
      </c>
      <c r="H229" s="9" t="n">
        <v>46053</v>
      </c>
      <c r="I229" s="4" t="inlineStr">
        <is>
          <t>Closed</t>
        </is>
      </c>
      <c r="J229" s="4" t="inlineStr">
        <is>
          <t>USD</t>
        </is>
      </c>
      <c r="K229" s="4" t="n">
        <v>4203.56</v>
      </c>
      <c r="L229" s="4" t="n">
        <v>0</v>
      </c>
      <c r="M229" s="4" t="n">
        <v>4203.56</v>
      </c>
      <c r="N229" s="4" t="inlineStr">
        <is>
          <t>OK</t>
        </is>
      </c>
    </row>
    <row r="230">
      <c r="A230" s="4" t="inlineStr">
        <is>
          <t>CLM-101589</t>
        </is>
      </c>
      <c r="B230" s="4" t="inlineStr">
        <is>
          <t>4230479</t>
        </is>
      </c>
      <c r="C230" s="4" t="inlineStr">
        <is>
          <t>Ardmore Freight plc</t>
        </is>
      </c>
      <c r="D230" s="9" t="n">
        <v>45724</v>
      </c>
      <c r="E230" s="9" t="n">
        <v>46088</v>
      </c>
      <c r="F230" s="4" t="n">
        <v>100000</v>
      </c>
      <c r="G230" s="9" t="n">
        <v>45990</v>
      </c>
      <c r="H230" s="9" t="n">
        <v>46007</v>
      </c>
      <c r="I230" s="4" t="inlineStr">
        <is>
          <t>Open</t>
        </is>
      </c>
      <c r="J230" s="4" t="inlineStr">
        <is>
          <t>GBP</t>
        </is>
      </c>
      <c r="K230" s="4" t="n">
        <v>18780.91</v>
      </c>
      <c r="L230" s="4" t="n">
        <v>43953.13</v>
      </c>
      <c r="M230" s="4" t="n">
        <v>62734.04</v>
      </c>
      <c r="N230" s="4" t="inlineStr">
        <is>
          <t>OK</t>
        </is>
      </c>
    </row>
    <row r="231">
      <c r="A231" s="4" t="inlineStr">
        <is>
          <t>CLM-101596</t>
        </is>
      </c>
      <c r="B231" s="4" t="inlineStr">
        <is>
          <t>4464556</t>
        </is>
      </c>
      <c r="C231" s="4" t="inlineStr">
        <is>
          <t>Selby Engineering &amp; Sons</t>
        </is>
      </c>
      <c r="D231" s="9" t="n">
        <v>45711</v>
      </c>
      <c r="E231" s="9" t="n">
        <v>46075</v>
      </c>
      <c r="F231" s="4" t="n">
        <v>1000000</v>
      </c>
      <c r="G231" s="9" t="n">
        <v>46026</v>
      </c>
      <c r="H231" s="9" t="n">
        <v>46027</v>
      </c>
      <c r="I231" s="4" t="inlineStr">
        <is>
          <t>Closed</t>
        </is>
      </c>
      <c r="J231" s="4" t="inlineStr">
        <is>
          <t>GBP</t>
        </is>
      </c>
      <c r="K231" s="4" t="n">
        <v>6238.29</v>
      </c>
      <c r="L231" s="4" t="n">
        <v>0</v>
      </c>
      <c r="M231" s="4" t="n">
        <v>6238.29</v>
      </c>
      <c r="N231" s="4" t="inlineStr">
        <is>
          <t>OK</t>
        </is>
      </c>
    </row>
    <row r="232">
      <c r="A232" s="4" t="inlineStr">
        <is>
          <t>CLM-101603</t>
        </is>
      </c>
      <c r="B232" s="4" t="inlineStr">
        <is>
          <t>4472097</t>
        </is>
      </c>
      <c r="C232" s="4" t="inlineStr">
        <is>
          <t>Upton Pharmacy Ltd</t>
        </is>
      </c>
      <c r="D232" s="9" t="n">
        <v>45715</v>
      </c>
      <c r="E232" s="9" t="n">
        <v>46079</v>
      </c>
      <c r="F232" s="4" t="n">
        <v>250000</v>
      </c>
      <c r="G232" s="9" t="n">
        <v>45742</v>
      </c>
      <c r="H232" s="9" t="n">
        <v>45767</v>
      </c>
      <c r="I232" s="4" t="inlineStr">
        <is>
          <t>Open</t>
        </is>
      </c>
      <c r="J232" s="4" t="inlineStr">
        <is>
          <t>GBP</t>
        </is>
      </c>
      <c r="K232" s="4" t="n">
        <v>55442.34</v>
      </c>
      <c r="L232" s="4" t="n">
        <v>1919.88</v>
      </c>
      <c r="M232" s="4" t="n">
        <v>57362.22</v>
      </c>
      <c r="N232" s="4" t="inlineStr">
        <is>
          <t>OK</t>
        </is>
      </c>
    </row>
    <row r="233">
      <c r="A233" s="4" t="inlineStr">
        <is>
          <t>CLM-101610</t>
        </is>
      </c>
      <c r="B233" s="4" t="inlineStr">
        <is>
          <t>4166316</t>
        </is>
      </c>
      <c r="C233" s="4" t="inlineStr">
        <is>
          <t>Kilbride Logistics &amp; Sons</t>
        </is>
      </c>
      <c r="D233" s="9" t="n">
        <v>45740</v>
      </c>
      <c r="E233" s="9" t="n">
        <v>46104</v>
      </c>
      <c r="F233" s="4" t="n">
        <v>500000</v>
      </c>
      <c r="G233" s="9" t="n">
        <v>45821</v>
      </c>
      <c r="H233" s="9" t="n">
        <v>45840</v>
      </c>
      <c r="I233" s="4" t="inlineStr">
        <is>
          <t>Open</t>
        </is>
      </c>
      <c r="J233" s="4" t="inlineStr">
        <is>
          <t>GBP</t>
        </is>
      </c>
      <c r="K233" s="4" t="n">
        <v>28696.38</v>
      </c>
      <c r="L233" s="4" t="n">
        <v>72464.89999999999</v>
      </c>
      <c r="M233" s="4" t="n">
        <v>101161.28</v>
      </c>
      <c r="N233" s="4" t="inlineStr">
        <is>
          <t>OK</t>
        </is>
      </c>
    </row>
    <row r="234">
      <c r="A234" s="4" t="inlineStr">
        <is>
          <t>CLM-101617</t>
        </is>
      </c>
      <c r="B234" s="4" t="inlineStr">
        <is>
          <t>4875503</t>
        </is>
      </c>
      <c r="C234" s="4" t="inlineStr">
        <is>
          <t>Rathmore Motors Group</t>
        </is>
      </c>
      <c r="D234" s="9" t="n">
        <v>45943</v>
      </c>
      <c r="E234" s="9" t="n">
        <v>46307</v>
      </c>
      <c r="F234" s="4" t="n">
        <v>1000000</v>
      </c>
      <c r="G234" s="9" t="n">
        <v>46054</v>
      </c>
      <c r="H234" s="9" t="n">
        <v>46057</v>
      </c>
      <c r="I234" s="4" t="inlineStr">
        <is>
          <t>Open</t>
        </is>
      </c>
      <c r="J234" s="4" t="inlineStr">
        <is>
          <t>GBP</t>
        </is>
      </c>
      <c r="K234" s="4" t="n">
        <v>15341.38</v>
      </c>
      <c r="L234" s="4" t="n">
        <v>28272.65</v>
      </c>
      <c r="M234" s="4" t="n">
        <v>43614.03</v>
      </c>
      <c r="N234" s="4" t="inlineStr">
        <is>
          <t>OK</t>
        </is>
      </c>
    </row>
    <row r="235">
      <c r="A235" s="4" t="inlineStr">
        <is>
          <t>CLM-101624</t>
        </is>
      </c>
      <c r="B235" s="4" t="inlineStr">
        <is>
          <t>4718138</t>
        </is>
      </c>
      <c r="C235" s="4" t="inlineStr">
        <is>
          <t>Fenwick Joinery Limited</t>
        </is>
      </c>
      <c r="D235" s="9" t="n">
        <v>45765</v>
      </c>
      <c r="E235" s="9" t="n">
        <v>46129</v>
      </c>
      <c r="F235" s="4" t="n">
        <v>500000</v>
      </c>
      <c r="G235" s="9" t="n">
        <v>45772</v>
      </c>
      <c r="H235" s="9" t="n">
        <v>45803</v>
      </c>
      <c r="I235" s="4" t="inlineStr">
        <is>
          <t>Open</t>
        </is>
      </c>
      <c r="J235" s="4" t="inlineStr">
        <is>
          <t>GBP</t>
        </is>
      </c>
      <c r="K235" s="4" t="n">
        <v>4733.61</v>
      </c>
      <c r="L235" s="4" t="n">
        <v>34724.25</v>
      </c>
      <c r="M235" s="4" t="n">
        <v>39457.86</v>
      </c>
      <c r="N235" s="4" t="inlineStr">
        <is>
          <t>OK</t>
        </is>
      </c>
    </row>
    <row r="236">
      <c r="A236" s="4" t="inlineStr">
        <is>
          <t>CLM-101631</t>
        </is>
      </c>
      <c r="B236" s="4" t="inlineStr">
        <is>
          <t>4087733</t>
        </is>
      </c>
      <c r="C236" s="4" t="inlineStr">
        <is>
          <t>Quarry Florists plc</t>
        </is>
      </c>
      <c r="D236" s="9" t="n">
        <v>45714</v>
      </c>
      <c r="E236" s="9" t="n">
        <v>46078</v>
      </c>
      <c r="F236" s="4" t="n">
        <v>1000000</v>
      </c>
      <c r="G236" s="9" t="n">
        <v>45743</v>
      </c>
      <c r="H236" s="9" t="n">
        <v>45768</v>
      </c>
      <c r="I236" s="4" t="inlineStr">
        <is>
          <t>Open</t>
        </is>
      </c>
      <c r="J236" s="4" t="inlineStr">
        <is>
          <t>EUR</t>
        </is>
      </c>
      <c r="K236" s="4" t="n">
        <v>30718.21</v>
      </c>
      <c r="L236" s="4" t="n">
        <v>16838.56</v>
      </c>
      <c r="M236" s="4" t="n">
        <v>47556.77</v>
      </c>
      <c r="N236" s="4" t="inlineStr">
        <is>
          <t>OK</t>
        </is>
      </c>
    </row>
    <row r="237">
      <c r="A237" s="4" t="inlineStr">
        <is>
          <t>CLM-101638</t>
        </is>
      </c>
      <c r="B237" s="4" t="inlineStr">
        <is>
          <t>4859984</t>
        </is>
      </c>
      <c r="C237" s="4" t="inlineStr">
        <is>
          <t>Ellery Farms Limited</t>
        </is>
      </c>
      <c r="D237" s="9" t="n">
        <v>45983</v>
      </c>
      <c r="E237" s="9" t="n">
        <v>46347</v>
      </c>
      <c r="F237" s="4" t="n">
        <v>1000000</v>
      </c>
      <c r="G237" s="9" t="n">
        <v>46160</v>
      </c>
      <c r="H237" s="9" t="n">
        <v>46166</v>
      </c>
      <c r="I237" s="4" t="inlineStr">
        <is>
          <t>Open</t>
        </is>
      </c>
      <c r="J237" s="4" t="inlineStr">
        <is>
          <t>USD</t>
        </is>
      </c>
      <c r="K237" s="4" t="n">
        <v>31169.63</v>
      </c>
      <c r="L237" s="4" t="n">
        <v>55273.94</v>
      </c>
      <c r="M237" s="4" t="n">
        <v>86443.57000000001</v>
      </c>
      <c r="N237" s="4" t="inlineStr">
        <is>
          <t>OK</t>
        </is>
      </c>
    </row>
    <row r="238">
      <c r="A238" s="4" t="inlineStr">
        <is>
          <t>CLM-101645</t>
        </is>
      </c>
      <c r="B238" s="4" t="inlineStr">
        <is>
          <t>4862916</t>
        </is>
      </c>
      <c r="C238" s="4" t="inlineStr">
        <is>
          <t>Ballina Logistics plc</t>
        </is>
      </c>
      <c r="D238" s="9" t="n">
        <v>45706</v>
      </c>
      <c r="E238" s="9" t="n">
        <v>46070</v>
      </c>
      <c r="F238" s="4" t="n">
        <v>250000</v>
      </c>
      <c r="G238" s="9" t="n">
        <v>45866</v>
      </c>
      <c r="H238" s="9" t="n">
        <v>45868</v>
      </c>
      <c r="I238" s="4" t="inlineStr">
        <is>
          <t>Open</t>
        </is>
      </c>
      <c r="J238" s="4" t="inlineStr">
        <is>
          <t>GBP</t>
        </is>
      </c>
      <c r="K238" s="4" t="n">
        <v>20606.63</v>
      </c>
      <c r="L238" s="4" t="n">
        <v>7132.74</v>
      </c>
      <c r="M238" s="4" t="n">
        <v>27739.37</v>
      </c>
      <c r="N238" s="4" t="inlineStr">
        <is>
          <t>OK</t>
        </is>
      </c>
    </row>
    <row r="239">
      <c r="A239" s="4" t="inlineStr">
        <is>
          <t>CLM-101652</t>
        </is>
      </c>
      <c r="B239" s="4" t="inlineStr">
        <is>
          <t>4657491</t>
        </is>
      </c>
      <c r="C239" s="4" t="inlineStr">
        <is>
          <t>Ballina Hotels &amp; Sons</t>
        </is>
      </c>
      <c r="D239" s="9" t="n">
        <v>45975</v>
      </c>
      <c r="E239" s="9" t="n">
        <v>46339</v>
      </c>
      <c r="F239" s="4" t="n">
        <v>1000000</v>
      </c>
      <c r="G239" s="9" t="n">
        <v>46099</v>
      </c>
      <c r="H239" s="9" t="n">
        <v>46128</v>
      </c>
      <c r="I239" s="4" t="inlineStr">
        <is>
          <t>Open</t>
        </is>
      </c>
      <c r="J239" s="4" t="inlineStr">
        <is>
          <t>GBP</t>
        </is>
      </c>
      <c r="K239" s="4" t="n">
        <v>28310.96</v>
      </c>
      <c r="L239" s="4" t="n">
        <v>23519.96</v>
      </c>
      <c r="M239" s="4" t="n">
        <v>51830.92</v>
      </c>
      <c r="N239" s="4" t="inlineStr">
        <is>
          <t>OK</t>
        </is>
      </c>
    </row>
    <row r="240">
      <c r="A240" s="4" t="inlineStr">
        <is>
          <t>CLM-101659</t>
        </is>
      </c>
      <c r="B240" s="4" t="inlineStr">
        <is>
          <t>4835637</t>
        </is>
      </c>
      <c r="C240" s="4" t="inlineStr">
        <is>
          <t>Larkspur Builders Holdings</t>
        </is>
      </c>
      <c r="D240" s="9" t="n">
        <v>45680</v>
      </c>
      <c r="E240" s="9" t="n">
        <v>46044</v>
      </c>
      <c r="F240" s="4" t="n">
        <v>1000000</v>
      </c>
      <c r="G240" s="9" t="n">
        <v>45982</v>
      </c>
      <c r="H240" s="9" t="n">
        <v>45998</v>
      </c>
      <c r="I240" s="4" t="inlineStr">
        <is>
          <t>Open</t>
        </is>
      </c>
      <c r="J240" s="4" t="inlineStr">
        <is>
          <t>GBP</t>
        </is>
      </c>
      <c r="K240" s="4" t="n">
        <v>59742.36</v>
      </c>
      <c r="L240" s="4" t="n">
        <v>9560.459999999999</v>
      </c>
      <c r="M240" s="4" t="n">
        <v>69302.82000000001</v>
      </c>
      <c r="N240" s="4" t="inlineStr">
        <is>
          <t>OK</t>
        </is>
      </c>
    </row>
    <row r="241">
      <c r="A241" s="4" t="inlineStr">
        <is>
          <t>CLM-101666</t>
        </is>
      </c>
      <c r="B241" s="4" t="inlineStr">
        <is>
          <t>4533390</t>
        </is>
      </c>
      <c r="C241" s="4" t="inlineStr">
        <is>
          <t>Thornbury Florists Holdings</t>
        </is>
      </c>
      <c r="D241" s="9" t="n">
        <v>45678</v>
      </c>
      <c r="E241" s="9" t="n">
        <v>46042</v>
      </c>
      <c r="F241" s="4" t="n">
        <v>500000</v>
      </c>
      <c r="G241" s="9" t="n">
        <v>45952</v>
      </c>
      <c r="H241" s="9" t="n">
        <v>45983</v>
      </c>
      <c r="I241" s="4" t="inlineStr">
        <is>
          <t>Closed</t>
        </is>
      </c>
      <c r="J241" s="4" t="inlineStr">
        <is>
          <t>USD</t>
        </is>
      </c>
      <c r="K241" s="4" t="n">
        <v>25841.65</v>
      </c>
      <c r="L241" s="4" t="n">
        <v>0</v>
      </c>
      <c r="M241" s="4" t="n">
        <v>25841.65</v>
      </c>
      <c r="N241" s="4" t="inlineStr">
        <is>
          <t>OK</t>
        </is>
      </c>
    </row>
    <row r="242">
      <c r="A242" s="4" t="inlineStr">
        <is>
          <t>CLM-101673</t>
        </is>
      </c>
      <c r="B242" s="4" t="inlineStr">
        <is>
          <t>4739779</t>
        </is>
      </c>
      <c r="C242" s="4" t="inlineStr">
        <is>
          <t>Westbury Motors LLP</t>
        </is>
      </c>
      <c r="D242" s="9" t="n">
        <v>45720</v>
      </c>
      <c r="E242" s="9" t="n">
        <v>46084</v>
      </c>
      <c r="F242" s="4" t="n">
        <v>1000000</v>
      </c>
      <c r="G242" s="9" t="n">
        <v>45807</v>
      </c>
      <c r="H242" s="9" t="n">
        <v>45838</v>
      </c>
      <c r="I242" s="4" t="inlineStr">
        <is>
          <t>Reopened</t>
        </is>
      </c>
      <c r="J242" s="4" t="inlineStr">
        <is>
          <t>USD</t>
        </is>
      </c>
      <c r="K242" s="4" t="n">
        <v>9941.68</v>
      </c>
      <c r="L242" s="4" t="n">
        <v>20976.3</v>
      </c>
      <c r="M242" s="4" t="n">
        <v>30917.98</v>
      </c>
      <c r="N242" s="4" t="inlineStr">
        <is>
          <t>OK</t>
        </is>
      </c>
    </row>
    <row r="243">
      <c r="A243" s="4" t="inlineStr">
        <is>
          <t>CLM-101680</t>
        </is>
      </c>
      <c r="B243" s="4" t="inlineStr">
        <is>
          <t>4760723</t>
        </is>
      </c>
      <c r="C243" s="4" t="inlineStr">
        <is>
          <t>Selby Dental LLP</t>
        </is>
      </c>
      <c r="D243" s="9" t="n">
        <v>45729</v>
      </c>
      <c r="E243" s="9" t="n">
        <v>46093</v>
      </c>
      <c r="F243" s="4" t="n">
        <v>100000</v>
      </c>
      <c r="G243" s="9" t="n">
        <v>45885</v>
      </c>
      <c r="H243" s="9" t="n">
        <v>45905</v>
      </c>
      <c r="I243" s="4" t="inlineStr">
        <is>
          <t>Reopened</t>
        </is>
      </c>
      <c r="J243" s="4" t="inlineStr">
        <is>
          <t>GBP</t>
        </is>
      </c>
      <c r="K243" s="4" t="n">
        <v>23603.97</v>
      </c>
      <c r="L243" s="4" t="n">
        <v>20998.91</v>
      </c>
      <c r="M243" s="4" t="n">
        <v>44602.88</v>
      </c>
      <c r="N243" s="4" t="inlineStr">
        <is>
          <t>OK</t>
        </is>
      </c>
    </row>
    <row r="244">
      <c r="A244" s="4" t="inlineStr">
        <is>
          <t>CLM-101687</t>
        </is>
      </c>
      <c r="B244" s="4" t="inlineStr">
        <is>
          <t>4388115</t>
        </is>
      </c>
      <c r="C244" s="4" t="inlineStr">
        <is>
          <t>Kestrel Haulage LLP</t>
        </is>
      </c>
      <c r="D244" s="9" t="n">
        <v>45892</v>
      </c>
      <c r="E244" s="9" t="n">
        <v>46256</v>
      </c>
      <c r="F244" s="4" t="n">
        <v>100000</v>
      </c>
      <c r="G244" s="9" t="n">
        <v>45901</v>
      </c>
      <c r="H244" s="9" t="n">
        <v>45923</v>
      </c>
      <c r="I244" s="4" t="inlineStr">
        <is>
          <t>Open</t>
        </is>
      </c>
      <c r="J244" s="4" t="inlineStr">
        <is>
          <t>GBP</t>
        </is>
      </c>
      <c r="K244" s="4" t="n">
        <v>34882.91</v>
      </c>
      <c r="L244" s="4" t="n">
        <v>14153.08</v>
      </c>
      <c r="M244" s="4" t="n">
        <v>49035.99</v>
      </c>
      <c r="N244" s="4" t="inlineStr">
        <is>
          <t>OK</t>
        </is>
      </c>
    </row>
    <row r="245">
      <c r="A245" s="4" t="inlineStr">
        <is>
          <t>CLM-101694</t>
        </is>
      </c>
      <c r="B245" s="4" t="inlineStr">
        <is>
          <t>4559113</t>
        </is>
      </c>
      <c r="C245" s="4" t="inlineStr">
        <is>
          <t>Oakham Haulage &amp; Sons</t>
        </is>
      </c>
      <c r="D245" s="9" t="n">
        <v>45977</v>
      </c>
      <c r="E245" s="9" t="n">
        <v>46341</v>
      </c>
      <c r="F245" s="4" t="n">
        <v>100000</v>
      </c>
      <c r="G245" s="9" t="n">
        <v>46186</v>
      </c>
      <c r="H245" s="9" t="n">
        <v>46213</v>
      </c>
      <c r="I245" s="4" t="inlineStr">
        <is>
          <t>Open</t>
        </is>
      </c>
      <c r="J245" s="4" t="inlineStr">
        <is>
          <t>GBP</t>
        </is>
      </c>
      <c r="K245" s="4" t="n">
        <v>2959.85</v>
      </c>
      <c r="L245" s="4" t="n">
        <v>19817.67</v>
      </c>
      <c r="M245" s="4" t="n">
        <v>22777.52</v>
      </c>
      <c r="N245" s="4" t="inlineStr">
        <is>
          <t>OK</t>
        </is>
      </c>
    </row>
    <row r="246">
      <c r="A246" s="4" t="inlineStr">
        <is>
          <t>CLM-101701</t>
        </is>
      </c>
      <c r="B246" s="4" t="inlineStr">
        <is>
          <t>4087937</t>
        </is>
      </c>
      <c r="C246" s="4" t="inlineStr">
        <is>
          <t>Yarrow Garages Limited</t>
        </is>
      </c>
      <c r="D246" s="9" t="n">
        <v>45843</v>
      </c>
      <c r="E246" s="9" t="n">
        <v>46207</v>
      </c>
      <c r="F246" s="4" t="n">
        <v>250000</v>
      </c>
      <c r="G246" s="9" t="n">
        <v>46004</v>
      </c>
      <c r="H246" s="9" t="n">
        <v>46040</v>
      </c>
      <c r="I246" s="4" t="inlineStr">
        <is>
          <t>Open</t>
        </is>
      </c>
      <c r="J246" s="4" t="inlineStr">
        <is>
          <t>GBP</t>
        </is>
      </c>
      <c r="K246" s="4" t="n">
        <v>59717.61</v>
      </c>
      <c r="L246" s="4" t="n">
        <v>20928.68</v>
      </c>
      <c r="M246" s="4" t="n">
        <v>80646.28999999999</v>
      </c>
      <c r="N246" s="4" t="inlineStr">
        <is>
          <t>OK</t>
        </is>
      </c>
    </row>
    <row r="247">
      <c r="A247" s="4" t="inlineStr">
        <is>
          <t>CLM-101708</t>
        </is>
      </c>
      <c r="B247" s="4" t="inlineStr">
        <is>
          <t>4813076</t>
        </is>
      </c>
      <c r="C247" s="4" t="inlineStr">
        <is>
          <t>Vale Marine Holdings</t>
        </is>
      </c>
      <c r="D247" s="9" t="n">
        <v>45707</v>
      </c>
      <c r="E247" s="9" t="n">
        <v>46071</v>
      </c>
      <c r="F247" s="4" t="n">
        <v>100000</v>
      </c>
      <c r="G247" s="9" t="n">
        <v>45957</v>
      </c>
      <c r="H247" s="9" t="n">
        <v>45985</v>
      </c>
      <c r="I247" s="4" t="inlineStr">
        <is>
          <t>Open</t>
        </is>
      </c>
      <c r="J247" s="4" t="inlineStr">
        <is>
          <t>GBP</t>
        </is>
      </c>
      <c r="K247" s="4" t="n">
        <v>40287.89</v>
      </c>
      <c r="L247" s="4" t="n">
        <v>11324.8</v>
      </c>
      <c r="M247" s="4" t="n">
        <v>51612.69</v>
      </c>
      <c r="N247" s="4" t="inlineStr">
        <is>
          <t>OK</t>
        </is>
      </c>
    </row>
    <row r="248">
      <c r="A248" s="4" t="inlineStr">
        <is>
          <t>CLM-101715</t>
        </is>
      </c>
      <c r="B248" s="4" t="inlineStr">
        <is>
          <t>4814732</t>
        </is>
      </c>
      <c r="C248" s="4" t="inlineStr">
        <is>
          <t>Upton Farms Holdings</t>
        </is>
      </c>
      <c r="D248" s="9" t="n">
        <v>45863</v>
      </c>
      <c r="E248" s="9" t="n">
        <v>46227</v>
      </c>
      <c r="F248" s="4" t="n">
        <v>250000</v>
      </c>
      <c r="G248" s="9" t="n">
        <v>46176</v>
      </c>
      <c r="H248" s="9" t="n">
        <v>46213</v>
      </c>
      <c r="I248" s="4" t="inlineStr">
        <is>
          <t>Reopened</t>
        </is>
      </c>
      <c r="J248" s="4" t="inlineStr">
        <is>
          <t>GBP</t>
        </is>
      </c>
      <c r="K248" s="4" t="n">
        <v>12803.65</v>
      </c>
      <c r="L248" s="4" t="n">
        <v>28695.58</v>
      </c>
      <c r="M248" s="4" t="n">
        <v>41499.23</v>
      </c>
      <c r="N248" s="4" t="inlineStr">
        <is>
          <t>OK</t>
        </is>
      </c>
    </row>
    <row r="249">
      <c r="A249" s="4" t="inlineStr">
        <is>
          <t>CLM-101722</t>
        </is>
      </c>
      <c r="B249" s="4" t="inlineStr">
        <is>
          <t>4665648</t>
        </is>
      </c>
      <c r="C249" s="4" t="inlineStr">
        <is>
          <t>Oakham Marine Ltd</t>
        </is>
      </c>
      <c r="D249" s="9" t="n">
        <v>45716</v>
      </c>
      <c r="E249" s="9" t="n">
        <v>46080</v>
      </c>
      <c r="F249" s="4" t="n">
        <v>250000</v>
      </c>
      <c r="G249" s="9" t="n">
        <v>45747</v>
      </c>
      <c r="H249" s="9" t="n">
        <v>45770</v>
      </c>
      <c r="I249" s="4" t="inlineStr">
        <is>
          <t>Open</t>
        </is>
      </c>
      <c r="J249" s="4" t="inlineStr">
        <is>
          <t>GBP</t>
        </is>
      </c>
      <c r="K249" s="4" t="n">
        <v>59628.97</v>
      </c>
      <c r="L249" s="4" t="n">
        <v>34693.79</v>
      </c>
      <c r="M249" s="4" t="n">
        <v>94322.75999999999</v>
      </c>
      <c r="N249" s="4" t="inlineStr">
        <is>
          <t>OK</t>
        </is>
      </c>
    </row>
    <row r="250">
      <c r="A250" s="4" t="inlineStr">
        <is>
          <t>CLM-101729</t>
        </is>
      </c>
      <c r="B250" s="4" t="inlineStr">
        <is>
          <t>4889232</t>
        </is>
      </c>
      <c r="C250" s="4" t="inlineStr">
        <is>
          <t>Westbury Engineering Ltd</t>
        </is>
      </c>
      <c r="D250" s="9" t="n">
        <v>45840</v>
      </c>
      <c r="E250" s="9" t="n">
        <v>46204</v>
      </c>
      <c r="F250" s="4" t="n">
        <v>250000</v>
      </c>
      <c r="G250" s="9" t="n">
        <v>46156</v>
      </c>
      <c r="H250" s="9" t="n">
        <v>46187</v>
      </c>
      <c r="I250" s="4" t="inlineStr">
        <is>
          <t>Open</t>
        </is>
      </c>
      <c r="J250" s="4" t="inlineStr">
        <is>
          <t>GBP</t>
        </is>
      </c>
      <c r="K250" s="4" t="n">
        <v>34932.29</v>
      </c>
      <c r="L250" s="4" t="n">
        <v>79296.25999999999</v>
      </c>
      <c r="M250" s="4" t="n">
        <v>114228.55</v>
      </c>
      <c r="N250" s="4" t="inlineStr">
        <is>
          <t>OK</t>
        </is>
      </c>
    </row>
    <row r="251">
      <c r="A251" s="4" t="inlineStr">
        <is>
          <t>CLM-101736</t>
        </is>
      </c>
      <c r="B251" s="4" t="inlineStr">
        <is>
          <t>4843420</t>
        </is>
      </c>
      <c r="C251" s="4" t="inlineStr">
        <is>
          <t>Calder Dental Limited</t>
        </is>
      </c>
      <c r="D251" s="9" t="n">
        <v>45854</v>
      </c>
      <c r="E251" s="9" t="n">
        <v>46218</v>
      </c>
      <c r="F251" s="4" t="n">
        <v>250000</v>
      </c>
      <c r="G251" s="9" t="n">
        <v>46133</v>
      </c>
      <c r="H251" s="9" t="n">
        <v>46150</v>
      </c>
      <c r="I251" s="4" t="inlineStr">
        <is>
          <t>Open</t>
        </is>
      </c>
      <c r="J251" s="4" t="inlineStr">
        <is>
          <t>EUR</t>
        </is>
      </c>
      <c r="K251" s="4" t="n">
        <v>55671.52</v>
      </c>
      <c r="L251" s="4" t="n">
        <v>37054.17</v>
      </c>
      <c r="M251" s="4" t="n">
        <v>92725.69</v>
      </c>
      <c r="N251" s="4" t="inlineStr">
        <is>
          <t>OK</t>
        </is>
      </c>
    </row>
    <row r="252">
      <c r="A252" s="4" t="inlineStr">
        <is>
          <t>CLM-101743</t>
        </is>
      </c>
      <c r="B252" s="4" t="inlineStr">
        <is>
          <t>4285538</t>
        </is>
      </c>
      <c r="C252" s="4" t="inlineStr">
        <is>
          <t>Fenwick Dental Holdings</t>
        </is>
      </c>
      <c r="D252" s="9" t="n">
        <v>45993</v>
      </c>
      <c r="E252" s="9" t="n">
        <v>46357</v>
      </c>
      <c r="F252" s="4" t="n">
        <v>100000</v>
      </c>
      <c r="G252" s="9" t="n">
        <v>46187</v>
      </c>
      <c r="H252" s="9" t="n">
        <v>46209</v>
      </c>
      <c r="I252" s="4" t="inlineStr">
        <is>
          <t>Open</t>
        </is>
      </c>
      <c r="J252" s="4" t="inlineStr">
        <is>
          <t>GBP</t>
        </is>
      </c>
      <c r="K252" s="4" t="n">
        <v>42469.06</v>
      </c>
      <c r="L252" s="4" t="n">
        <v>12850.16</v>
      </c>
      <c r="M252" s="4" t="n">
        <v>55319.22</v>
      </c>
      <c r="N252" s="4" t="inlineStr">
        <is>
          <t>OK</t>
        </is>
      </c>
    </row>
    <row r="253">
      <c r="A253" s="4" t="inlineStr">
        <is>
          <t>CLM-101750</t>
        </is>
      </c>
      <c r="B253" s="4" t="inlineStr">
        <is>
          <t>4053679</t>
        </is>
      </c>
      <c r="C253" s="4" t="inlineStr">
        <is>
          <t>Northcote Builders plc</t>
        </is>
      </c>
      <c r="D253" s="9" t="n">
        <v>45904</v>
      </c>
      <c r="E253" s="9" t="n">
        <v>46268</v>
      </c>
      <c r="F253" s="4" t="n">
        <v>100000</v>
      </c>
      <c r="G253" s="9" t="n">
        <v>46000</v>
      </c>
      <c r="H253" s="9" t="n">
        <v>46006</v>
      </c>
      <c r="I253" s="4" t="inlineStr">
        <is>
          <t>Open</t>
        </is>
      </c>
      <c r="J253" s="4" t="inlineStr">
        <is>
          <t>USD</t>
        </is>
      </c>
      <c r="K253" s="4" t="n">
        <v>2251.24</v>
      </c>
      <c r="L253" s="4" t="n">
        <v>38856.68</v>
      </c>
      <c r="M253" s="4" t="n">
        <v>41107.92</v>
      </c>
      <c r="N253" s="4" t="inlineStr">
        <is>
          <t>OK</t>
        </is>
      </c>
    </row>
    <row r="254">
      <c r="A254" s="4" t="inlineStr">
        <is>
          <t>CLM-101757</t>
        </is>
      </c>
      <c r="B254" s="4" t="inlineStr">
        <is>
          <t>4529874</t>
        </is>
      </c>
      <c r="C254" s="4" t="inlineStr">
        <is>
          <t>Brennan Foods &amp; Sons</t>
        </is>
      </c>
      <c r="D254" s="9" t="n">
        <v>45721</v>
      </c>
      <c r="E254" s="9" t="n">
        <v>46085</v>
      </c>
      <c r="F254" s="4" t="n">
        <v>500000</v>
      </c>
      <c r="G254" s="9" t="n">
        <v>45927</v>
      </c>
      <c r="H254" s="9" t="n">
        <v>45951</v>
      </c>
      <c r="I254" s="4" t="inlineStr">
        <is>
          <t>Open</t>
        </is>
      </c>
      <c r="J254" s="4" t="inlineStr">
        <is>
          <t>GBP</t>
        </is>
      </c>
      <c r="K254" s="4" t="n">
        <v>13107.4</v>
      </c>
      <c r="L254" s="4" t="n">
        <v>62163.79</v>
      </c>
      <c r="M254" s="4" t="n">
        <v>75271.19</v>
      </c>
      <c r="N254" s="4" t="inlineStr">
        <is>
          <t>OK</t>
        </is>
      </c>
    </row>
    <row r="255">
      <c r="A255" s="4" t="inlineStr">
        <is>
          <t>CLM-101764</t>
        </is>
      </c>
      <c r="B255" s="4" t="inlineStr">
        <is>
          <t>4277972</t>
        </is>
      </c>
      <c r="C255" s="4" t="inlineStr">
        <is>
          <t>Norland Engineering &amp; Sons</t>
        </is>
      </c>
      <c r="D255" s="9" t="n">
        <v>45727</v>
      </c>
      <c r="E255" s="9" t="n">
        <v>46091</v>
      </c>
      <c r="F255" s="4" t="n">
        <v>1000000</v>
      </c>
      <c r="G255" s="9" t="n">
        <v>45995</v>
      </c>
      <c r="H255" s="9" t="n">
        <v>46009</v>
      </c>
      <c r="I255" s="4" t="inlineStr">
        <is>
          <t>Open</t>
        </is>
      </c>
      <c r="J255" s="4" t="inlineStr">
        <is>
          <t>GBP</t>
        </is>
      </c>
      <c r="K255" s="4" t="n">
        <v>4417.05</v>
      </c>
      <c r="L255" s="4" t="n">
        <v>60844.11</v>
      </c>
      <c r="M255" s="4" t="n">
        <v>65261.16</v>
      </c>
      <c r="N255" s="4" t="inlineStr">
        <is>
          <t>OK</t>
        </is>
      </c>
    </row>
    <row r="256">
      <c r="A256" s="4" t="inlineStr">
        <is>
          <t>CLM-101771</t>
        </is>
      </c>
      <c r="B256" s="4" t="inlineStr">
        <is>
          <t>4375013</t>
        </is>
      </c>
      <c r="C256" s="4" t="inlineStr">
        <is>
          <t>Rathmore Joinery &amp; Sons</t>
        </is>
      </c>
      <c r="D256" s="9" t="n">
        <v>45669</v>
      </c>
      <c r="E256" s="9" t="n">
        <v>46033</v>
      </c>
      <c r="F256" s="4" t="n">
        <v>1000000</v>
      </c>
      <c r="G256" s="9" t="n">
        <v>45921</v>
      </c>
      <c r="H256" s="9" t="n">
        <v>45945</v>
      </c>
      <c r="I256" s="4" t="inlineStr">
        <is>
          <t>Open</t>
        </is>
      </c>
      <c r="J256" s="4" t="inlineStr">
        <is>
          <t>USD</t>
        </is>
      </c>
      <c r="K256" s="4" t="n">
        <v>29417.45</v>
      </c>
      <c r="L256" s="4" t="n">
        <v>59245.18</v>
      </c>
      <c r="M256" s="4" t="n">
        <v>88662.63</v>
      </c>
      <c r="N256" s="4" t="inlineStr">
        <is>
          <t>OK</t>
        </is>
      </c>
    </row>
    <row r="257">
      <c r="A257" s="4" t="inlineStr">
        <is>
          <t>CLM-101778</t>
        </is>
      </c>
      <c r="B257" s="4" t="inlineStr">
        <is>
          <t>4016211</t>
        </is>
      </c>
      <c r="C257" s="4" t="inlineStr">
        <is>
          <t>Selby Farms Limited</t>
        </is>
      </c>
      <c r="D257" s="9" t="n">
        <v>45841</v>
      </c>
      <c r="E257" s="9" t="n">
        <v>46205</v>
      </c>
      <c r="F257" s="4" t="n">
        <v>500000</v>
      </c>
      <c r="G257" s="9" t="n">
        <v>46012</v>
      </c>
      <c r="H257" s="9" t="n">
        <v>46037</v>
      </c>
      <c r="I257" s="4" t="inlineStr">
        <is>
          <t>Closed</t>
        </is>
      </c>
      <c r="J257" s="4" t="inlineStr">
        <is>
          <t>GBP</t>
        </is>
      </c>
      <c r="K257" s="4" t="n">
        <v>59485</v>
      </c>
      <c r="L257" s="4" t="n">
        <v>0</v>
      </c>
      <c r="M257" s="4" t="n">
        <v>59485</v>
      </c>
      <c r="N257" s="4" t="inlineStr">
        <is>
          <t>OK</t>
        </is>
      </c>
    </row>
    <row r="258">
      <c r="A258" s="4" t="inlineStr">
        <is>
          <t>CLM-101785</t>
        </is>
      </c>
      <c r="B258" s="4" t="inlineStr">
        <is>
          <t>4795391</t>
        </is>
      </c>
      <c r="C258" s="4" t="inlineStr">
        <is>
          <t>Juniper Marine Group</t>
        </is>
      </c>
      <c r="D258" s="9" t="n">
        <v>45818</v>
      </c>
      <c r="E258" s="9" t="n">
        <v>46182</v>
      </c>
      <c r="F258" s="4" t="n">
        <v>1000000</v>
      </c>
      <c r="G258" s="9" t="n">
        <v>45941</v>
      </c>
      <c r="H258" s="9" t="n">
        <v>45962</v>
      </c>
      <c r="I258" s="4" t="inlineStr">
        <is>
          <t>Closed</t>
        </is>
      </c>
      <c r="J258" s="4" t="inlineStr">
        <is>
          <t>USD</t>
        </is>
      </c>
      <c r="K258" s="4" t="n">
        <v>51861.81</v>
      </c>
      <c r="L258" s="4" t="n">
        <v>0</v>
      </c>
      <c r="M258" s="4" t="n">
        <v>51861.81</v>
      </c>
      <c r="N258" s="4" t="inlineStr">
        <is>
          <t>OK</t>
        </is>
      </c>
    </row>
    <row r="259">
      <c r="A259" s="4" t="inlineStr">
        <is>
          <t>CLM-101792</t>
        </is>
      </c>
      <c r="B259" s="4" t="inlineStr">
        <is>
          <t>4339274</t>
        </is>
      </c>
      <c r="C259" s="4" t="inlineStr">
        <is>
          <t>Merrow Dental Ltd</t>
        </is>
      </c>
      <c r="D259" s="9" t="n">
        <v>46019</v>
      </c>
      <c r="E259" s="9" t="n">
        <v>46383</v>
      </c>
      <c r="F259" s="4" t="n">
        <v>1000000</v>
      </c>
      <c r="G259" s="9" t="n">
        <v>46285</v>
      </c>
      <c r="H259" s="9" t="n">
        <v>46295</v>
      </c>
      <c r="I259" s="4" t="inlineStr">
        <is>
          <t>Open</t>
        </is>
      </c>
      <c r="J259" s="4" t="inlineStr">
        <is>
          <t>GBP</t>
        </is>
      </c>
      <c r="K259" s="4" t="n">
        <v>59978.47</v>
      </c>
      <c r="L259" s="4" t="n">
        <v>34953.7</v>
      </c>
      <c r="M259" s="4" t="n">
        <v>94932.17</v>
      </c>
      <c r="N259" s="4" t="inlineStr">
        <is>
          <t>OK</t>
        </is>
      </c>
    </row>
    <row r="260">
      <c r="A260" s="4" t="inlineStr">
        <is>
          <t>CLM-101799</t>
        </is>
      </c>
      <c r="B260" s="4" t="inlineStr">
        <is>
          <t>4765670</t>
        </is>
      </c>
      <c r="C260" s="4" t="inlineStr">
        <is>
          <t>Upton Freight Limited</t>
        </is>
      </c>
      <c r="D260" s="9" t="n">
        <v>45833</v>
      </c>
      <c r="E260" s="9" t="n">
        <v>46197</v>
      </c>
      <c r="F260" s="4" t="n">
        <v>500000</v>
      </c>
      <c r="G260" s="9" t="n">
        <v>45997</v>
      </c>
      <c r="H260" s="9" t="n">
        <v>46035</v>
      </c>
      <c r="I260" s="4" t="inlineStr">
        <is>
          <t>Open</t>
        </is>
      </c>
      <c r="J260" s="4" t="inlineStr">
        <is>
          <t>GBP</t>
        </is>
      </c>
      <c r="K260" s="4" t="n">
        <v>54154.64</v>
      </c>
      <c r="L260" s="4" t="n">
        <v>58154.75</v>
      </c>
      <c r="M260" s="4" t="n">
        <v>112309.39</v>
      </c>
      <c r="N260" s="4" t="inlineStr">
        <is>
          <t>OK</t>
        </is>
      </c>
    </row>
    <row r="261">
      <c r="A261" s="4" t="inlineStr">
        <is>
          <t>CLM-101806</t>
        </is>
      </c>
      <c r="B261" s="4" t="inlineStr">
        <is>
          <t>4863138</t>
        </is>
      </c>
      <c r="C261" s="4" t="inlineStr">
        <is>
          <t>Thornbury Textiles Group</t>
        </is>
      </c>
      <c r="D261" s="9" t="n">
        <v>45967</v>
      </c>
      <c r="E261" s="9" t="n">
        <v>46331</v>
      </c>
      <c r="F261" s="4" t="n">
        <v>250000</v>
      </c>
      <c r="G261" s="9" t="n">
        <v>46039</v>
      </c>
      <c r="H261" s="9" t="n">
        <v>46077</v>
      </c>
      <c r="I261" s="4" t="inlineStr">
        <is>
          <t>Open</t>
        </is>
      </c>
      <c r="J261" s="4" t="inlineStr">
        <is>
          <t>USD</t>
        </is>
      </c>
      <c r="K261" s="4" t="n">
        <v>58423.35</v>
      </c>
      <c r="L261" s="4" t="n">
        <v>49278.22</v>
      </c>
      <c r="M261" s="4" t="n">
        <v>107701.57</v>
      </c>
      <c r="N261" s="4" t="inlineStr">
        <is>
          <t>OK</t>
        </is>
      </c>
    </row>
    <row r="262">
      <c r="A262" s="4" t="inlineStr">
        <is>
          <t>CLM-101813</t>
        </is>
      </c>
      <c r="B262" s="4" t="inlineStr">
        <is>
          <t>4768292</t>
        </is>
      </c>
      <c r="C262" s="4" t="inlineStr">
        <is>
          <t>Thornbury Dental Holdings</t>
        </is>
      </c>
      <c r="D262" s="9" t="n">
        <v>45770</v>
      </c>
      <c r="E262" s="9" t="n">
        <v>46134</v>
      </c>
      <c r="F262" s="4" t="n">
        <v>500000</v>
      </c>
      <c r="G262" s="9" t="n">
        <v>46038</v>
      </c>
      <c r="H262" s="9" t="n">
        <v>46078</v>
      </c>
      <c r="I262" s="4" t="inlineStr">
        <is>
          <t>Reopened</t>
        </is>
      </c>
      <c r="J262" s="4" t="inlineStr">
        <is>
          <t>EUR</t>
        </is>
      </c>
      <c r="K262" s="4" t="n">
        <v>16521.9</v>
      </c>
      <c r="L262" s="4" t="n">
        <v>28180.4</v>
      </c>
      <c r="M262" s="4" t="n">
        <v>44702.3</v>
      </c>
      <c r="N262" s="4" t="inlineStr">
        <is>
          <t>OK</t>
        </is>
      </c>
    </row>
    <row r="263">
      <c r="A263" s="4" t="inlineStr">
        <is>
          <t>CLM-101820</t>
        </is>
      </c>
      <c r="B263" s="4" t="inlineStr">
        <is>
          <t>4621567</t>
        </is>
      </c>
      <c r="C263" s="4" t="inlineStr">
        <is>
          <t>Ardmore Hotels Limited</t>
        </is>
      </c>
      <c r="D263" s="9" t="n">
        <v>45938</v>
      </c>
      <c r="E263" s="9" t="n">
        <v>46302</v>
      </c>
      <c r="F263" s="4" t="n">
        <v>1000000</v>
      </c>
      <c r="G263" s="9" t="n">
        <v>45976</v>
      </c>
      <c r="H263" s="9" t="n">
        <v>45999</v>
      </c>
      <c r="I263" s="4" t="inlineStr">
        <is>
          <t>Open</t>
        </is>
      </c>
      <c r="J263" s="4" t="inlineStr">
        <is>
          <t>GBP</t>
        </is>
      </c>
      <c r="K263" s="4" t="n">
        <v>20664.79</v>
      </c>
      <c r="L263" s="4" t="n">
        <v>63992.1</v>
      </c>
      <c r="M263" s="4" t="n">
        <v>84656.89</v>
      </c>
      <c r="N263" s="4" t="inlineStr">
        <is>
          <t>OK</t>
        </is>
      </c>
    </row>
    <row r="264">
      <c r="A264" s="4" t="inlineStr">
        <is>
          <t>CLM-101827</t>
        </is>
      </c>
      <c r="B264" s="4" t="inlineStr">
        <is>
          <t>4329710</t>
        </is>
      </c>
      <c r="C264" s="4" t="inlineStr">
        <is>
          <t>Quarry Bakery Group</t>
        </is>
      </c>
      <c r="D264" s="9" t="n">
        <v>45938</v>
      </c>
      <c r="E264" s="9" t="n">
        <v>46302</v>
      </c>
      <c r="F264" s="4" t="n">
        <v>1000000</v>
      </c>
      <c r="G264" s="9" t="n">
        <v>46242</v>
      </c>
      <c r="H264" s="9" t="n">
        <v>46269</v>
      </c>
      <c r="I264" s="4" t="inlineStr">
        <is>
          <t>Open</t>
        </is>
      </c>
      <c r="J264" s="4" t="inlineStr">
        <is>
          <t>GBP</t>
        </is>
      </c>
      <c r="K264" s="4" t="n">
        <v>40979.46</v>
      </c>
      <c r="L264" s="4" t="n">
        <v>10840.97</v>
      </c>
      <c r="M264" s="4" t="n">
        <v>51820.43</v>
      </c>
      <c r="N264" s="4" t="inlineStr">
        <is>
          <t>OK</t>
        </is>
      </c>
    </row>
    <row r="265">
      <c r="A265" s="4" t="inlineStr">
        <is>
          <t>CLM-101834</t>
        </is>
      </c>
      <c r="B265" s="4" t="inlineStr">
        <is>
          <t>4634937</t>
        </is>
      </c>
      <c r="C265" s="4" t="inlineStr">
        <is>
          <t>Westbury Motors Holdings</t>
        </is>
      </c>
      <c r="D265" s="9" t="n">
        <v>45821</v>
      </c>
      <c r="E265" s="9" t="n">
        <v>46185</v>
      </c>
      <c r="F265" s="4" t="n">
        <v>250000</v>
      </c>
      <c r="G265" s="9" t="n">
        <v>46135</v>
      </c>
      <c r="H265" s="9" t="n">
        <v>46159</v>
      </c>
      <c r="I265" s="4" t="inlineStr">
        <is>
          <t>Open</t>
        </is>
      </c>
      <c r="J265" s="4" t="inlineStr">
        <is>
          <t>GBP</t>
        </is>
      </c>
      <c r="K265" s="4" t="n">
        <v>29976.63</v>
      </c>
      <c r="L265" s="4" t="n">
        <v>24780.33</v>
      </c>
      <c r="M265" s="4" t="n">
        <v>54756.96</v>
      </c>
      <c r="N265" s="4" t="inlineStr">
        <is>
          <t>OK</t>
        </is>
      </c>
    </row>
    <row r="266">
      <c r="A266" s="4" t="inlineStr">
        <is>
          <t>CLM-101841</t>
        </is>
      </c>
      <c r="B266" s="4" t="inlineStr">
        <is>
          <t>4643474</t>
        </is>
      </c>
      <c r="C266" s="4" t="inlineStr">
        <is>
          <t>Quarry Haulage Group</t>
        </is>
      </c>
      <c r="D266" s="9" t="n">
        <v>45831</v>
      </c>
      <c r="E266" s="9" t="n">
        <v>46195</v>
      </c>
      <c r="F266" s="4" t="n">
        <v>100000</v>
      </c>
      <c r="G266" s="9" t="n">
        <v>45857</v>
      </c>
      <c r="H266" s="9" t="n">
        <v>45858</v>
      </c>
      <c r="I266" s="4" t="inlineStr">
        <is>
          <t>Open</t>
        </is>
      </c>
      <c r="J266" s="4" t="inlineStr">
        <is>
          <t>USD</t>
        </is>
      </c>
      <c r="K266" s="4" t="n">
        <v>38661.53</v>
      </c>
      <c r="L266" s="4" t="n">
        <v>833.91</v>
      </c>
      <c r="M266" s="4" t="n">
        <v>39495.44</v>
      </c>
      <c r="N266" s="4" t="inlineStr">
        <is>
          <t>OK</t>
        </is>
      </c>
    </row>
    <row r="267">
      <c r="A267" s="4" t="inlineStr">
        <is>
          <t>CLM-101848</t>
        </is>
      </c>
      <c r="B267" s="4" t="inlineStr">
        <is>
          <t>4433411</t>
        </is>
      </c>
      <c r="C267" s="4" t="inlineStr">
        <is>
          <t>Calder Logistics LLP</t>
        </is>
      </c>
      <c r="D267" s="9" t="n">
        <v>45874</v>
      </c>
      <c r="E267" s="9" t="n">
        <v>46238</v>
      </c>
      <c r="F267" s="4" t="n">
        <v>500000</v>
      </c>
      <c r="G267" s="9" t="n">
        <v>45901</v>
      </c>
      <c r="H267" s="9" t="n">
        <v>45923</v>
      </c>
      <c r="I267" s="4" t="inlineStr">
        <is>
          <t>Open</t>
        </is>
      </c>
      <c r="J267" s="4" t="inlineStr">
        <is>
          <t>GBP</t>
        </is>
      </c>
      <c r="K267" s="4" t="n">
        <v>10081.54</v>
      </c>
      <c r="L267" s="4" t="n">
        <v>22249.25</v>
      </c>
      <c r="M267" s="4" t="n">
        <v>32330.79</v>
      </c>
      <c r="N267" s="4" t="inlineStr">
        <is>
          <t>OK</t>
        </is>
      </c>
    </row>
    <row r="268">
      <c r="A268" s="4" t="inlineStr">
        <is>
          <t>CLM-101855</t>
        </is>
      </c>
      <c r="B268" s="4" t="inlineStr">
        <is>
          <t>4860897</t>
        </is>
      </c>
      <c r="C268" s="4" t="inlineStr">
        <is>
          <t>Oakham Logistics &amp; Sons</t>
        </is>
      </c>
      <c r="D268" s="9" t="n">
        <v>45703</v>
      </c>
      <c r="E268" s="9" t="n">
        <v>46067</v>
      </c>
      <c r="F268" s="4" t="n">
        <v>500000</v>
      </c>
      <c r="G268" s="9" t="n">
        <v>45760</v>
      </c>
      <c r="H268" s="9" t="n">
        <v>45782</v>
      </c>
      <c r="I268" s="4" t="inlineStr">
        <is>
          <t>Open</t>
        </is>
      </c>
      <c r="J268" s="4" t="inlineStr">
        <is>
          <t>GBP</t>
        </is>
      </c>
      <c r="K268" s="4" t="n">
        <v>14902.56</v>
      </c>
      <c r="L268" s="4" t="n">
        <v>57067.58</v>
      </c>
      <c r="M268" s="4" t="n">
        <v>71970.14</v>
      </c>
      <c r="N268" s="4" t="inlineStr">
        <is>
          <t>OK</t>
        </is>
      </c>
    </row>
    <row r="269">
      <c r="A269" s="4" t="inlineStr">
        <is>
          <t>CLM-101862</t>
        </is>
      </c>
      <c r="B269" s="4" t="inlineStr">
        <is>
          <t>4115501</t>
        </is>
      </c>
      <c r="C269" s="4" t="inlineStr">
        <is>
          <t>Dunmore Joinery &amp; Sons</t>
        </is>
      </c>
      <c r="D269" s="9" t="n">
        <v>45774</v>
      </c>
      <c r="E269" s="9" t="n">
        <v>46138</v>
      </c>
      <c r="F269" s="4" t="n">
        <v>500000</v>
      </c>
      <c r="G269" s="9" t="n">
        <v>45889</v>
      </c>
      <c r="H269" s="9" t="n">
        <v>45897</v>
      </c>
      <c r="I269" s="4" t="inlineStr">
        <is>
          <t>Open</t>
        </is>
      </c>
      <c r="J269" s="4" t="inlineStr">
        <is>
          <t>GBP</t>
        </is>
      </c>
      <c r="K269" s="4" t="n">
        <v>17973.84</v>
      </c>
      <c r="L269" s="4" t="n">
        <v>34162.55</v>
      </c>
      <c r="M269" s="4" t="n">
        <v>52136.39</v>
      </c>
      <c r="N269" s="4" t="inlineStr">
        <is>
          <t>OK</t>
        </is>
      </c>
    </row>
    <row r="270">
      <c r="A270" s="4" t="inlineStr">
        <is>
          <t>CLM-101869</t>
        </is>
      </c>
      <c r="B270" s="4" t="inlineStr">
        <is>
          <t>4167534</t>
        </is>
      </c>
      <c r="C270" s="4" t="inlineStr">
        <is>
          <t>Kestrel Garages Limited</t>
        </is>
      </c>
      <c r="D270" s="9" t="n">
        <v>45708</v>
      </c>
      <c r="E270" s="9" t="n">
        <v>46072</v>
      </c>
      <c r="F270" s="4" t="n">
        <v>1000000</v>
      </c>
      <c r="G270" s="9" t="n">
        <v>46002</v>
      </c>
      <c r="H270" s="9" t="n">
        <v>46027</v>
      </c>
      <c r="I270" s="4" t="inlineStr">
        <is>
          <t>Open</t>
        </is>
      </c>
      <c r="J270" s="4" t="inlineStr">
        <is>
          <t>GBP</t>
        </is>
      </c>
      <c r="K270" s="4" t="n">
        <v>57354.17</v>
      </c>
      <c r="L270" s="4" t="n">
        <v>4276.13</v>
      </c>
      <c r="M270" s="4" t="n">
        <v>61630.3</v>
      </c>
      <c r="N270" s="4" t="inlineStr">
        <is>
          <t>OK</t>
        </is>
      </c>
    </row>
    <row r="271">
      <c r="A271" s="4" t="inlineStr">
        <is>
          <t>CLM-101876</t>
        </is>
      </c>
      <c r="B271" s="4" t="inlineStr">
        <is>
          <t>4238910</t>
        </is>
      </c>
      <c r="C271" s="4" t="inlineStr">
        <is>
          <t>Selby Builders &amp; Sons</t>
        </is>
      </c>
      <c r="D271" s="9" t="n">
        <v>45895</v>
      </c>
      <c r="E271" s="9" t="n">
        <v>46259</v>
      </c>
      <c r="F271" s="4" t="n">
        <v>500000</v>
      </c>
      <c r="G271" s="9" t="n">
        <v>46039</v>
      </c>
      <c r="H271" s="9" t="n">
        <v>46057</v>
      </c>
      <c r="I271" s="4" t="inlineStr">
        <is>
          <t>Open</t>
        </is>
      </c>
      <c r="J271" s="4" t="inlineStr">
        <is>
          <t>EUR</t>
        </is>
      </c>
      <c r="K271" s="4" t="n">
        <v>28435.61</v>
      </c>
      <c r="L271" s="4" t="n">
        <v>17701.1</v>
      </c>
      <c r="M271" s="4" t="n">
        <v>46136.71</v>
      </c>
      <c r="N271" s="4" t="inlineStr">
        <is>
          <t>OK</t>
        </is>
      </c>
    </row>
    <row r="272">
      <c r="A272" s="4" t="inlineStr">
        <is>
          <t>CLM-101883</t>
        </is>
      </c>
      <c r="B272" s="4" t="inlineStr">
        <is>
          <t>4220715</t>
        </is>
      </c>
      <c r="C272" s="4" t="inlineStr">
        <is>
          <t>Kestrel Marine Limited</t>
        </is>
      </c>
      <c r="D272" s="9" t="n">
        <v>45771</v>
      </c>
      <c r="E272" s="9" t="n">
        <v>46135</v>
      </c>
      <c r="F272" s="4" t="n">
        <v>250000</v>
      </c>
      <c r="G272" s="9" t="n">
        <v>46095</v>
      </c>
      <c r="H272" s="9" t="n">
        <v>46121</v>
      </c>
      <c r="I272" s="4" t="inlineStr">
        <is>
          <t>Open</t>
        </is>
      </c>
      <c r="J272" s="4" t="inlineStr">
        <is>
          <t>GBP</t>
        </is>
      </c>
      <c r="K272" s="4" t="n">
        <v>48249.24</v>
      </c>
      <c r="L272" s="4" t="n">
        <v>78046.95</v>
      </c>
      <c r="M272" s="4" t="n">
        <v>126296.19</v>
      </c>
      <c r="N272" s="4" t="inlineStr">
        <is>
          <t>OK</t>
        </is>
      </c>
    </row>
    <row r="273">
      <c r="A273" s="4" t="inlineStr">
        <is>
          <t>CLM-101890</t>
        </is>
      </c>
      <c r="B273" s="4" t="inlineStr">
        <is>
          <t>4453293</t>
        </is>
      </c>
      <c r="C273" s="4" t="inlineStr">
        <is>
          <t>Ardmore Bakery Group</t>
        </is>
      </c>
      <c r="D273" s="9" t="n">
        <v>45903</v>
      </c>
      <c r="E273" s="9" t="n">
        <v>46267</v>
      </c>
      <c r="F273" s="4" t="n">
        <v>100000</v>
      </c>
      <c r="G273" s="9" t="n">
        <v>46132</v>
      </c>
      <c r="H273" s="9" t="n">
        <v>46167</v>
      </c>
      <c r="I273" s="4" t="inlineStr">
        <is>
          <t>Open</t>
        </is>
      </c>
      <c r="J273" s="4" t="inlineStr">
        <is>
          <t>GBP</t>
        </is>
      </c>
      <c r="K273" s="4" t="n">
        <v>24163.56</v>
      </c>
      <c r="L273" s="4" t="n">
        <v>26377.08</v>
      </c>
      <c r="M273" s="4" t="n">
        <v>50540.64</v>
      </c>
      <c r="N273" s="4" t="inlineStr">
        <is>
          <t>OK</t>
        </is>
      </c>
    </row>
    <row r="274">
      <c r="A274" s="4" t="inlineStr">
        <is>
          <t>CLM-101897</t>
        </is>
      </c>
      <c r="B274" s="4" t="inlineStr">
        <is>
          <t>4817535</t>
        </is>
      </c>
      <c r="C274" s="4" t="inlineStr">
        <is>
          <t>Ardmore Joinery Ltd</t>
        </is>
      </c>
      <c r="D274" s="9" t="n">
        <v>45814</v>
      </c>
      <c r="E274" s="9" t="n">
        <v>46178</v>
      </c>
      <c r="F274" s="4" t="n">
        <v>500000</v>
      </c>
      <c r="G274" s="9" t="n">
        <v>46012</v>
      </c>
      <c r="H274" s="9" t="n">
        <v>46032</v>
      </c>
      <c r="I274" s="4" t="inlineStr">
        <is>
          <t>Reopened</t>
        </is>
      </c>
      <c r="J274" s="4" t="inlineStr">
        <is>
          <t>GBP</t>
        </is>
      </c>
      <c r="K274" s="4" t="n">
        <v>57242.14</v>
      </c>
      <c r="L274" s="4" t="n">
        <v>10863.45</v>
      </c>
      <c r="M274" s="4" t="n">
        <v>68105.59</v>
      </c>
      <c r="N274" s="4" t="inlineStr">
        <is>
          <t>OK</t>
        </is>
      </c>
    </row>
    <row r="275">
      <c r="A275" s="4" t="inlineStr">
        <is>
          <t>CLM-101904</t>
        </is>
      </c>
      <c r="B275" s="4" t="inlineStr">
        <is>
          <t>4366373</t>
        </is>
      </c>
      <c r="C275" s="4" t="inlineStr">
        <is>
          <t>Vale Farms Group</t>
        </is>
      </c>
      <c r="D275" s="9" t="n">
        <v>45987</v>
      </c>
      <c r="E275" s="9" t="n">
        <v>46351</v>
      </c>
      <c r="F275" s="4" t="n">
        <v>250000</v>
      </c>
      <c r="G275" s="9" t="n">
        <v>46084</v>
      </c>
      <c r="H275" s="9" t="n">
        <v>46085</v>
      </c>
      <c r="I275" s="4" t="inlineStr">
        <is>
          <t>Open</t>
        </is>
      </c>
      <c r="J275" s="4" t="inlineStr">
        <is>
          <t>EUR</t>
        </is>
      </c>
      <c r="K275" s="4" t="n">
        <v>53763.04</v>
      </c>
      <c r="L275" s="4" t="n">
        <v>19677.5</v>
      </c>
      <c r="M275" s="4" t="n">
        <v>73440.53999999999</v>
      </c>
      <c r="N275" s="4" t="inlineStr">
        <is>
          <t>OK</t>
        </is>
      </c>
    </row>
    <row r="276">
      <c r="A276" s="4" t="inlineStr">
        <is>
          <t>CLM-101911</t>
        </is>
      </c>
      <c r="B276" s="4" t="inlineStr">
        <is>
          <t>4645676</t>
        </is>
      </c>
      <c r="C276" s="4" t="inlineStr">
        <is>
          <t>Norland Farms Ltd</t>
        </is>
      </c>
      <c r="D276" s="9" t="n">
        <v>45949</v>
      </c>
      <c r="E276" s="9" t="n">
        <v>46313</v>
      </c>
      <c r="F276" s="4" t="n">
        <v>500000</v>
      </c>
      <c r="G276" s="9" t="n">
        <v>46083</v>
      </c>
      <c r="H276" s="9" t="n">
        <v>46094</v>
      </c>
      <c r="I276" s="4" t="inlineStr">
        <is>
          <t>Closed</t>
        </is>
      </c>
      <c r="J276" s="4" t="inlineStr">
        <is>
          <t>GBP</t>
        </is>
      </c>
      <c r="K276" s="4" t="n">
        <v>47679.22</v>
      </c>
      <c r="L276" s="4" t="n">
        <v>0</v>
      </c>
      <c r="M276" s="4" t="n">
        <v>47679.22</v>
      </c>
      <c r="N276" s="4" t="inlineStr">
        <is>
          <t>OK</t>
        </is>
      </c>
    </row>
    <row r="277">
      <c r="A277" s="4" t="inlineStr">
        <is>
          <t>CLM-101918</t>
        </is>
      </c>
      <c r="B277" s="4" t="inlineStr">
        <is>
          <t>4141356</t>
        </is>
      </c>
      <c r="C277" s="4" t="inlineStr">
        <is>
          <t>Kilbride Motors Limited</t>
        </is>
      </c>
      <c r="D277" s="9" t="n">
        <v>45784</v>
      </c>
      <c r="E277" s="9" t="n">
        <v>46148</v>
      </c>
      <c r="F277" s="4" t="n">
        <v>500000</v>
      </c>
      <c r="G277" s="9" t="n">
        <v>45872</v>
      </c>
      <c r="H277" s="9" t="n">
        <v>45910</v>
      </c>
      <c r="I277" s="4" t="inlineStr">
        <is>
          <t>Open</t>
        </is>
      </c>
      <c r="J277" s="4" t="inlineStr">
        <is>
          <t>USD</t>
        </is>
      </c>
      <c r="K277" s="4" t="n">
        <v>58229.95</v>
      </c>
      <c r="L277" s="4" t="n">
        <v>32591.39</v>
      </c>
      <c r="M277" s="4" t="n">
        <v>90821.34</v>
      </c>
      <c r="N277" s="4" t="inlineStr">
        <is>
          <t>OK</t>
        </is>
      </c>
    </row>
    <row r="278">
      <c r="A278" s="4" t="inlineStr">
        <is>
          <t>CLM-101925</t>
        </is>
      </c>
      <c r="B278" s="4" t="inlineStr">
        <is>
          <t>4613665</t>
        </is>
      </c>
      <c r="C278" s="4" t="inlineStr">
        <is>
          <t>Vale Textiles plc</t>
        </is>
      </c>
      <c r="D278" s="9" t="n">
        <v>45854</v>
      </c>
      <c r="E278" s="9" t="n">
        <v>46218</v>
      </c>
      <c r="F278" s="4" t="n">
        <v>100000</v>
      </c>
      <c r="G278" s="9" t="n">
        <v>46071</v>
      </c>
      <c r="H278" s="9" t="n">
        <v>46102</v>
      </c>
      <c r="I278" s="4" t="inlineStr">
        <is>
          <t>Open</t>
        </is>
      </c>
      <c r="J278" s="4" t="inlineStr">
        <is>
          <t>EUR</t>
        </is>
      </c>
      <c r="K278" s="4" t="n">
        <v>38152.27</v>
      </c>
      <c r="L278" s="4" t="n">
        <v>37975.7</v>
      </c>
      <c r="M278" s="4" t="n">
        <v>76127.97</v>
      </c>
      <c r="N278" s="4" t="inlineStr">
        <is>
          <t>OK</t>
        </is>
      </c>
    </row>
    <row r="279">
      <c r="A279" s="4" t="inlineStr">
        <is>
          <t>CLM-101932</t>
        </is>
      </c>
      <c r="B279" s="4" t="inlineStr">
        <is>
          <t>4207049</t>
        </is>
      </c>
      <c r="C279" s="4" t="inlineStr">
        <is>
          <t>Ballina Print plc</t>
        </is>
      </c>
      <c r="D279" s="9" t="n">
        <v>46005</v>
      </c>
      <c r="E279" s="9" t="n">
        <v>46369</v>
      </c>
      <c r="F279" s="4" t="n">
        <v>1000000</v>
      </c>
      <c r="G279" s="9" t="n">
        <v>46161</v>
      </c>
      <c r="H279" s="9" t="n">
        <v>46166</v>
      </c>
      <c r="I279" s="4" t="inlineStr">
        <is>
          <t>Closed</t>
        </is>
      </c>
      <c r="J279" s="4" t="inlineStr">
        <is>
          <t>GBP</t>
        </is>
      </c>
      <c r="K279" s="4" t="n">
        <v>44797.82</v>
      </c>
      <c r="L279" s="4" t="n">
        <v>0</v>
      </c>
      <c r="M279" s="4" t="n">
        <v>44797.82</v>
      </c>
      <c r="N279" s="4" t="inlineStr">
        <is>
          <t>OK</t>
        </is>
      </c>
    </row>
    <row r="280">
      <c r="A280" s="4" t="inlineStr">
        <is>
          <t>CLM-101939</t>
        </is>
      </c>
      <c r="B280" s="4" t="inlineStr">
        <is>
          <t>4152964</t>
        </is>
      </c>
      <c r="C280" s="4" t="inlineStr">
        <is>
          <t>Upton Print Limited</t>
        </is>
      </c>
      <c r="D280" s="9" t="n">
        <v>46004</v>
      </c>
      <c r="E280" s="9" t="n">
        <v>46368</v>
      </c>
      <c r="F280" s="4" t="n">
        <v>250000</v>
      </c>
      <c r="G280" s="9" t="n">
        <v>46197</v>
      </c>
      <c r="H280" s="9" t="n">
        <v>46217</v>
      </c>
      <c r="I280" s="4" t="inlineStr">
        <is>
          <t>Reopened</t>
        </is>
      </c>
      <c r="J280" s="4" t="inlineStr">
        <is>
          <t>EUR</t>
        </is>
      </c>
      <c r="K280" s="4" t="n">
        <v>54955.36</v>
      </c>
      <c r="L280" s="4" t="n">
        <v>18132.66</v>
      </c>
      <c r="M280" s="4" t="n">
        <v>73088.02</v>
      </c>
      <c r="N280" s="4" t="inlineStr">
        <is>
          <t>OK</t>
        </is>
      </c>
    </row>
    <row r="281">
      <c r="A281" s="4" t="inlineStr">
        <is>
          <t>CLM-101946</t>
        </is>
      </c>
      <c r="B281" s="4" t="inlineStr">
        <is>
          <t>4820404</t>
        </is>
      </c>
      <c r="C281" s="4" t="inlineStr">
        <is>
          <t>Thornbury Freight Limited</t>
        </is>
      </c>
      <c r="D281" s="9" t="n">
        <v>45829</v>
      </c>
      <c r="E281" s="9" t="n">
        <v>46193</v>
      </c>
      <c r="F281" s="4" t="n">
        <v>100000</v>
      </c>
      <c r="G281" s="9" t="n">
        <v>45854</v>
      </c>
      <c r="H281" s="9" t="n">
        <v>45871</v>
      </c>
      <c r="I281" s="4" t="inlineStr">
        <is>
          <t>Open</t>
        </is>
      </c>
      <c r="J281" s="4" t="inlineStr">
        <is>
          <t>GBP</t>
        </is>
      </c>
      <c r="K281" s="4" t="n">
        <v>28310.06</v>
      </c>
      <c r="L281" s="4" t="n">
        <v>14571.7</v>
      </c>
      <c r="M281" s="4" t="n">
        <v>42881.76</v>
      </c>
      <c r="N281" s="4" t="inlineStr">
        <is>
          <t>OK</t>
        </is>
      </c>
    </row>
    <row r="282">
      <c r="A282" s="4" t="inlineStr">
        <is>
          <t>CLM-101953</t>
        </is>
      </c>
      <c r="B282" s="4" t="inlineStr">
        <is>
          <t>4273743</t>
        </is>
      </c>
      <c r="C282" s="4" t="inlineStr">
        <is>
          <t>Kestrel Textiles Group</t>
        </is>
      </c>
      <c r="D282" s="9" t="n">
        <v>46012</v>
      </c>
      <c r="E282" s="9" t="n">
        <v>46376</v>
      </c>
      <c r="F282" s="4" t="n">
        <v>500000</v>
      </c>
      <c r="G282" s="9" t="n">
        <v>46175</v>
      </c>
      <c r="H282" s="9" t="n">
        <v>46213</v>
      </c>
      <c r="I282" s="4" t="inlineStr">
        <is>
          <t>Open</t>
        </is>
      </c>
      <c r="J282" s="4" t="inlineStr">
        <is>
          <t>USD</t>
        </is>
      </c>
      <c r="K282" s="4" t="n">
        <v>36360.51</v>
      </c>
      <c r="L282" s="4" t="n">
        <v>35837.28</v>
      </c>
      <c r="M282" s="4" t="n">
        <v>72197.78999999999</v>
      </c>
      <c r="N282" s="4" t="inlineStr">
        <is>
          <t>OK</t>
        </is>
      </c>
    </row>
    <row r="283">
      <c r="A283" s="4" t="inlineStr">
        <is>
          <t>CLM-101960</t>
        </is>
      </c>
      <c r="B283" s="4" t="inlineStr">
        <is>
          <t>4839702</t>
        </is>
      </c>
      <c r="C283" s="4" t="inlineStr">
        <is>
          <t>Fenwick Logistics plc</t>
        </is>
      </c>
      <c r="D283" s="9" t="n">
        <v>45698</v>
      </c>
      <c r="E283" s="9" t="n">
        <v>46062</v>
      </c>
      <c r="F283" s="4" t="n">
        <v>100000</v>
      </c>
      <c r="G283" s="9" t="n">
        <v>45823</v>
      </c>
      <c r="H283" s="9" t="n">
        <v>45857</v>
      </c>
      <c r="I283" s="4" t="inlineStr">
        <is>
          <t>Open</t>
        </is>
      </c>
      <c r="J283" s="4" t="inlineStr">
        <is>
          <t>EUR</t>
        </is>
      </c>
      <c r="K283" s="4" t="n">
        <v>2175.27</v>
      </c>
      <c r="L283" s="4" t="n">
        <v>33115.08</v>
      </c>
      <c r="M283" s="4" t="n">
        <v>35290.35</v>
      </c>
      <c r="N283" s="4" t="inlineStr">
        <is>
          <t>OK</t>
        </is>
      </c>
    </row>
    <row r="284">
      <c r="A284" s="4" t="inlineStr">
        <is>
          <t>CLM-101967</t>
        </is>
      </c>
      <c r="B284" s="4" t="inlineStr">
        <is>
          <t>4868944</t>
        </is>
      </c>
      <c r="C284" s="4" t="inlineStr">
        <is>
          <t>Vale Logistics plc</t>
        </is>
      </c>
      <c r="D284" s="9" t="n">
        <v>46010</v>
      </c>
      <c r="E284" s="9" t="n">
        <v>46374</v>
      </c>
      <c r="F284" s="4" t="n">
        <v>250000</v>
      </c>
      <c r="G284" s="9" t="n">
        <v>46165</v>
      </c>
      <c r="H284" s="9" t="n">
        <v>46185</v>
      </c>
      <c r="I284" s="4" t="inlineStr">
        <is>
          <t>Closed</t>
        </is>
      </c>
      <c r="J284" s="4" t="inlineStr">
        <is>
          <t>GBP</t>
        </is>
      </c>
      <c r="K284" s="4" t="n">
        <v>26186.25</v>
      </c>
      <c r="L284" s="4" t="n">
        <v>0</v>
      </c>
      <c r="M284" s="4" t="n">
        <v>26186.25</v>
      </c>
      <c r="N284" s="4" t="inlineStr">
        <is>
          <t>OK</t>
        </is>
      </c>
    </row>
    <row r="285">
      <c r="A285" s="4" t="inlineStr">
        <is>
          <t>CLM-101974</t>
        </is>
      </c>
      <c r="B285" s="4" t="inlineStr">
        <is>
          <t>4385403</t>
        </is>
      </c>
      <c r="C285" s="4" t="inlineStr">
        <is>
          <t>Oakham Bakery Holdings</t>
        </is>
      </c>
      <c r="D285" s="9" t="n">
        <v>45819</v>
      </c>
      <c r="E285" s="9" t="n">
        <v>46183</v>
      </c>
      <c r="F285" s="4" t="n">
        <v>500000</v>
      </c>
      <c r="G285" s="9" t="n">
        <v>46114</v>
      </c>
      <c r="H285" s="9" t="n">
        <v>46139</v>
      </c>
      <c r="I285" s="4" t="inlineStr">
        <is>
          <t>Open</t>
        </is>
      </c>
      <c r="J285" s="4" t="inlineStr">
        <is>
          <t>EUR</t>
        </is>
      </c>
      <c r="K285" s="4" t="n">
        <v>22982.45</v>
      </c>
      <c r="L285" s="4" t="n">
        <v>59653.15</v>
      </c>
      <c r="M285" s="4" t="n">
        <v>82635.60000000001</v>
      </c>
      <c r="N285" s="4" t="inlineStr">
        <is>
          <t>OK</t>
        </is>
      </c>
    </row>
    <row r="286">
      <c r="A286" s="4" t="inlineStr">
        <is>
          <t>CLM-101981</t>
        </is>
      </c>
      <c r="B286" s="4" t="inlineStr">
        <is>
          <t>4295511</t>
        </is>
      </c>
      <c r="C286" s="4" t="inlineStr">
        <is>
          <t>Fenwick Florists Limited</t>
        </is>
      </c>
      <c r="D286" s="9" t="n">
        <v>45797</v>
      </c>
      <c r="E286" s="9" t="n">
        <v>46161</v>
      </c>
      <c r="F286" s="4" t="n">
        <v>250000</v>
      </c>
      <c r="G286" s="9" t="n">
        <v>46109</v>
      </c>
      <c r="H286" s="9" t="n">
        <v>46127</v>
      </c>
      <c r="I286" s="4" t="inlineStr">
        <is>
          <t>Open</t>
        </is>
      </c>
      <c r="J286" s="4" t="inlineStr">
        <is>
          <t>USD</t>
        </is>
      </c>
      <c r="K286" s="4" t="n">
        <v>27824.94</v>
      </c>
      <c r="L286" s="4" t="n">
        <v>63585.5</v>
      </c>
      <c r="M286" s="4" t="n">
        <v>91410.44</v>
      </c>
      <c r="N286" s="4" t="inlineStr">
        <is>
          <t>OK</t>
        </is>
      </c>
    </row>
    <row r="287">
      <c r="A287" s="4" t="inlineStr">
        <is>
          <t>CLM-101988</t>
        </is>
      </c>
      <c r="B287" s="4" t="inlineStr">
        <is>
          <t>4554900</t>
        </is>
      </c>
      <c r="C287" s="4" t="inlineStr">
        <is>
          <t>Merrow Farms Ltd</t>
        </is>
      </c>
      <c r="D287" s="9" t="n">
        <v>45996</v>
      </c>
      <c r="E287" s="9" t="n">
        <v>46360</v>
      </c>
      <c r="F287" s="4" t="n">
        <v>1000000</v>
      </c>
      <c r="G287" s="9" t="n">
        <v>46180</v>
      </c>
      <c r="H287" s="9" t="n">
        <v>46215</v>
      </c>
      <c r="I287" s="6" t="inlineStr">
        <is>
          <t>In Litigation Hold</t>
        </is>
      </c>
      <c r="J287" s="4" t="inlineStr">
        <is>
          <t>EUR</t>
        </is>
      </c>
      <c r="K287" s="4" t="n">
        <v>27232.48</v>
      </c>
      <c r="L287" s="4" t="n">
        <v>64779.9</v>
      </c>
      <c r="M287" s="4" t="n">
        <v>92012.38</v>
      </c>
      <c r="N287" s="6" t="inlineStr">
        <is>
          <t>Error: Status not recognised: 'in litigation hold' is not one of ['cancelled', 'closed', 'ntu', 'open', 'other', 'reopened', 'void', 'withdrawn'].</t>
        </is>
      </c>
    </row>
    <row r="288">
      <c r="A288" s="4" t="inlineStr">
        <is>
          <t>CLM-101995</t>
        </is>
      </c>
      <c r="B288" s="4" t="inlineStr">
        <is>
          <t>4847902</t>
        </is>
      </c>
      <c r="C288" s="4" t="inlineStr">
        <is>
          <t>Northcote Freight plc</t>
        </is>
      </c>
      <c r="D288" s="9" t="n">
        <v>45659</v>
      </c>
      <c r="E288" s="9" t="n">
        <v>46023</v>
      </c>
      <c r="F288" s="4" t="n">
        <v>500000</v>
      </c>
      <c r="G288" s="9" t="n">
        <v>45958</v>
      </c>
      <c r="H288" s="9" t="n">
        <v>45980</v>
      </c>
      <c r="I288" s="4" t="inlineStr">
        <is>
          <t>Open</t>
        </is>
      </c>
      <c r="J288" s="4" t="inlineStr">
        <is>
          <t>GBP</t>
        </is>
      </c>
      <c r="K288" s="4" t="n">
        <v>15952.75</v>
      </c>
      <c r="L288" s="4" t="n">
        <v>75398.75</v>
      </c>
      <c r="M288" s="4" t="n">
        <v>91351.5</v>
      </c>
      <c r="N288" s="4" t="inlineStr">
        <is>
          <t>OK</t>
        </is>
      </c>
    </row>
    <row r="289">
      <c r="A289" s="4" t="inlineStr">
        <is>
          <t>CLM-102002</t>
        </is>
      </c>
      <c r="B289" s="4" t="inlineStr">
        <is>
          <t>4721607</t>
        </is>
      </c>
      <c r="C289" s="4" t="inlineStr">
        <is>
          <t>Calder Haulage Holdings</t>
        </is>
      </c>
      <c r="D289" s="9" t="n">
        <v>45748</v>
      </c>
      <c r="E289" s="9" t="n">
        <v>46112</v>
      </c>
      <c r="F289" s="4" t="n">
        <v>500000</v>
      </c>
      <c r="G289" s="9" t="n">
        <v>46057</v>
      </c>
      <c r="H289" s="9" t="n">
        <v>46083</v>
      </c>
      <c r="I289" s="4" t="inlineStr">
        <is>
          <t>Closed</t>
        </is>
      </c>
      <c r="J289" s="4" t="inlineStr">
        <is>
          <t>GBP</t>
        </is>
      </c>
      <c r="K289" s="4" t="n">
        <v>25300.49</v>
      </c>
      <c r="L289" s="4" t="n">
        <v>0</v>
      </c>
      <c r="M289" s="4" t="n">
        <v>25300.49</v>
      </c>
      <c r="N289" s="4" t="inlineStr">
        <is>
          <t>OK</t>
        </is>
      </c>
    </row>
    <row r="290">
      <c r="A290" s="4" t="inlineStr">
        <is>
          <t>CLM-102009</t>
        </is>
      </c>
      <c r="B290" s="4" t="inlineStr">
        <is>
          <t>4385187</t>
        </is>
      </c>
      <c r="C290" s="4" t="inlineStr">
        <is>
          <t>Westbury Hotels Holdings</t>
        </is>
      </c>
      <c r="D290" s="9" t="n">
        <v>46008</v>
      </c>
      <c r="E290" s="9" t="n">
        <v>46372</v>
      </c>
      <c r="F290" s="4" t="n">
        <v>500000</v>
      </c>
      <c r="G290" s="9" t="n">
        <v>46142</v>
      </c>
      <c r="H290" s="9" t="n">
        <v>46171</v>
      </c>
      <c r="I290" s="4" t="inlineStr">
        <is>
          <t>Open</t>
        </is>
      </c>
      <c r="J290" s="4" t="inlineStr">
        <is>
          <t>EUR</t>
        </is>
      </c>
      <c r="K290" s="4" t="n">
        <v>58482.57</v>
      </c>
      <c r="L290" s="4" t="n">
        <v>38041.91</v>
      </c>
      <c r="M290" s="4" t="n">
        <v>96524.48</v>
      </c>
      <c r="N290" s="4" t="inlineStr">
        <is>
          <t>OK</t>
        </is>
      </c>
    </row>
    <row r="291">
      <c r="A291" s="4" t="inlineStr">
        <is>
          <t>CLM-102016</t>
        </is>
      </c>
      <c r="B291" s="4" t="inlineStr">
        <is>
          <t>4781829</t>
        </is>
      </c>
      <c r="C291" s="4" t="inlineStr">
        <is>
          <t>Ballina Foods &amp; Sons</t>
        </is>
      </c>
      <c r="D291" s="9" t="n">
        <v>45750</v>
      </c>
      <c r="E291" s="9" t="n">
        <v>46114</v>
      </c>
      <c r="F291" s="4" t="n">
        <v>500000</v>
      </c>
      <c r="G291" s="9" t="n">
        <v>45945</v>
      </c>
      <c r="H291" s="9" t="n">
        <v>45950</v>
      </c>
      <c r="I291" s="4" t="inlineStr">
        <is>
          <t>Open</t>
        </is>
      </c>
      <c r="J291" s="4" t="inlineStr">
        <is>
          <t>GBP</t>
        </is>
      </c>
      <c r="K291" s="4" t="n">
        <v>24291.8</v>
      </c>
      <c r="L291" s="4" t="n">
        <v>48916.36</v>
      </c>
      <c r="M291" s="4" t="n">
        <v>73208.16</v>
      </c>
      <c r="N291" s="4" t="inlineStr">
        <is>
          <t>OK</t>
        </is>
      </c>
    </row>
    <row r="292">
      <c r="A292" s="4" t="inlineStr">
        <is>
          <t>CLM-102023</t>
        </is>
      </c>
      <c r="B292" s="4" t="inlineStr">
        <is>
          <t>4812907</t>
        </is>
      </c>
      <c r="C292" s="4" t="inlineStr">
        <is>
          <t>Yarrow Bakery Holdings</t>
        </is>
      </c>
      <c r="D292" s="9" t="n">
        <v>45957</v>
      </c>
      <c r="E292" s="9" t="n">
        <v>46321</v>
      </c>
      <c r="F292" s="4" t="n">
        <v>250000</v>
      </c>
      <c r="G292" s="9" t="n">
        <v>46042</v>
      </c>
      <c r="H292" s="9" t="n">
        <v>46076</v>
      </c>
      <c r="I292" s="4" t="inlineStr">
        <is>
          <t>Open</t>
        </is>
      </c>
      <c r="J292" s="4" t="inlineStr">
        <is>
          <t>EUR</t>
        </is>
      </c>
      <c r="K292" s="4" t="n">
        <v>49333.4</v>
      </c>
      <c r="L292" s="4" t="n">
        <v>56516.73</v>
      </c>
      <c r="M292" s="4" t="n">
        <v>105850.13</v>
      </c>
      <c r="N292" s="4" t="inlineStr">
        <is>
          <t>OK</t>
        </is>
      </c>
    </row>
    <row r="293">
      <c r="A293" s="4" t="inlineStr">
        <is>
          <t>CLM-102030</t>
        </is>
      </c>
      <c r="B293" s="4" t="inlineStr">
        <is>
          <t>4654754</t>
        </is>
      </c>
      <c r="C293" s="4" t="inlineStr">
        <is>
          <t>Calder Logistics &amp; Sons</t>
        </is>
      </c>
      <c r="D293" s="9" t="n">
        <v>45923</v>
      </c>
      <c r="E293" s="9" t="n">
        <v>46287</v>
      </c>
      <c r="F293" s="4" t="n">
        <v>100000</v>
      </c>
      <c r="G293" s="9" t="n">
        <v>46094</v>
      </c>
      <c r="H293" s="9" t="n">
        <v>46106</v>
      </c>
      <c r="I293" s="4" t="inlineStr">
        <is>
          <t>Open</t>
        </is>
      </c>
      <c r="J293" s="4" t="inlineStr">
        <is>
          <t>EUR</t>
        </is>
      </c>
      <c r="K293" s="4" t="n">
        <v>5204.1</v>
      </c>
      <c r="L293" s="4" t="n">
        <v>9125.809999999999</v>
      </c>
      <c r="M293" s="4" t="n">
        <v>14329.91</v>
      </c>
      <c r="N293" s="4" t="inlineStr">
        <is>
          <t>OK</t>
        </is>
      </c>
    </row>
    <row r="294">
      <c r="A294" s="4" t="inlineStr">
        <is>
          <t>CLM-102037</t>
        </is>
      </c>
      <c r="B294" s="4" t="inlineStr">
        <is>
          <t>4658250</t>
        </is>
      </c>
      <c r="C294" s="4" t="inlineStr">
        <is>
          <t>Fenwick Freight plc</t>
        </is>
      </c>
      <c r="D294" s="9" t="n">
        <v>45938</v>
      </c>
      <c r="E294" s="9" t="n">
        <v>46302</v>
      </c>
      <c r="F294" s="4" t="n">
        <v>250000</v>
      </c>
      <c r="G294" s="9" t="n">
        <v>45943</v>
      </c>
      <c r="H294" s="9" t="n">
        <v>45948</v>
      </c>
      <c r="I294" s="4" t="inlineStr">
        <is>
          <t>Open</t>
        </is>
      </c>
      <c r="J294" s="4" t="inlineStr">
        <is>
          <t>USD</t>
        </is>
      </c>
      <c r="K294" s="4" t="n">
        <v>54155.64</v>
      </c>
      <c r="L294" s="4" t="n">
        <v>63373.66</v>
      </c>
      <c r="M294" s="4" t="n">
        <v>117529.3</v>
      </c>
      <c r="N294" s="4" t="inlineStr">
        <is>
          <t>OK</t>
        </is>
      </c>
    </row>
    <row r="295">
      <c r="A295" s="4" t="inlineStr">
        <is>
          <t>CLM-102044</t>
        </is>
      </c>
      <c r="B295" s="4" t="inlineStr">
        <is>
          <t>4453917</t>
        </is>
      </c>
      <c r="C295" s="4" t="inlineStr">
        <is>
          <t>Brennan Marine plc</t>
        </is>
      </c>
      <c r="D295" s="9" t="n">
        <v>46002</v>
      </c>
      <c r="E295" s="9" t="n">
        <v>46366</v>
      </c>
      <c r="F295" s="4" t="n">
        <v>100000</v>
      </c>
      <c r="G295" s="9" t="n">
        <v>46285</v>
      </c>
      <c r="H295" s="9" t="n">
        <v>46289</v>
      </c>
      <c r="I295" s="4" t="inlineStr">
        <is>
          <t>Open</t>
        </is>
      </c>
      <c r="J295" s="4" t="inlineStr">
        <is>
          <t>EUR</t>
        </is>
      </c>
      <c r="K295" s="4" t="n">
        <v>27718.11</v>
      </c>
      <c r="L295" s="4" t="n">
        <v>5292.37</v>
      </c>
      <c r="M295" s="4" t="n">
        <v>33010.48</v>
      </c>
      <c r="N295" s="4" t="inlineStr">
        <is>
          <t>OK</t>
        </is>
      </c>
    </row>
    <row r="296">
      <c r="A296" s="4" t="inlineStr">
        <is>
          <t>CLM-102051</t>
        </is>
      </c>
      <c r="B296" s="4" t="inlineStr">
        <is>
          <t>4430394</t>
        </is>
      </c>
      <c r="C296" s="4" t="inlineStr">
        <is>
          <t>Calder Farms Group</t>
        </is>
      </c>
      <c r="D296" s="9" t="n">
        <v>45713</v>
      </c>
      <c r="E296" s="9" t="n">
        <v>46077</v>
      </c>
      <c r="F296" s="4" t="n">
        <v>250000</v>
      </c>
      <c r="G296" s="9" t="n">
        <v>45996</v>
      </c>
      <c r="H296" s="9" t="n">
        <v>46026</v>
      </c>
      <c r="I296" s="4" t="inlineStr">
        <is>
          <t>Open</t>
        </is>
      </c>
      <c r="J296" s="4" t="inlineStr">
        <is>
          <t>GBP</t>
        </is>
      </c>
      <c r="K296" s="4" t="n">
        <v>34909.39</v>
      </c>
      <c r="L296" s="4" t="n">
        <v>72614.11</v>
      </c>
      <c r="M296" s="4" t="n">
        <v>107523.5</v>
      </c>
      <c r="N296" s="4" t="inlineStr">
        <is>
          <t>OK</t>
        </is>
      </c>
    </row>
    <row r="297">
      <c r="A297" s="4" t="inlineStr">
        <is>
          <t>CLM-102058</t>
        </is>
      </c>
      <c r="B297" s="4" t="inlineStr">
        <is>
          <t>4688763</t>
        </is>
      </c>
      <c r="C297" s="4" t="inlineStr">
        <is>
          <t>Brennan Freight &amp; Sons</t>
        </is>
      </c>
      <c r="D297" s="9" t="n">
        <v>45946</v>
      </c>
      <c r="E297" s="9" t="n">
        <v>46310</v>
      </c>
      <c r="F297" s="4" t="n">
        <v>500000</v>
      </c>
      <c r="G297" s="9" t="n">
        <v>46019</v>
      </c>
      <c r="H297" s="9" t="n">
        <v>46054</v>
      </c>
      <c r="I297" s="4" t="inlineStr">
        <is>
          <t>Open</t>
        </is>
      </c>
      <c r="J297" s="4" t="inlineStr">
        <is>
          <t>GBP</t>
        </is>
      </c>
      <c r="K297" s="4" t="n">
        <v>20292.77</v>
      </c>
      <c r="L297" s="4" t="n">
        <v>4134.58</v>
      </c>
      <c r="M297" s="4" t="n">
        <v>24427.35</v>
      </c>
      <c r="N297" s="4" t="inlineStr">
        <is>
          <t>OK</t>
        </is>
      </c>
    </row>
    <row r="298">
      <c r="A298" s="4" t="inlineStr">
        <is>
          <t>CLM-102065</t>
        </is>
      </c>
      <c r="B298" s="4" t="inlineStr">
        <is>
          <t>4027651</t>
        </is>
      </c>
      <c r="C298" s="4" t="inlineStr">
        <is>
          <t>Inglewood Textiles Holdings</t>
        </is>
      </c>
      <c r="D298" s="9" t="n">
        <v>45783</v>
      </c>
      <c r="E298" s="9" t="n">
        <v>46147</v>
      </c>
      <c r="F298" s="4" t="n">
        <v>1000000</v>
      </c>
      <c r="G298" s="9" t="n">
        <v>45962</v>
      </c>
      <c r="H298" s="9" t="n">
        <v>45996</v>
      </c>
      <c r="I298" s="4" t="inlineStr">
        <is>
          <t>Open</t>
        </is>
      </c>
      <c r="J298" s="4" t="inlineStr">
        <is>
          <t>GBP</t>
        </is>
      </c>
      <c r="K298" s="4" t="n">
        <v>29293.11</v>
      </c>
      <c r="L298" s="4" t="n">
        <v>64624.07</v>
      </c>
      <c r="M298" s="4" t="n">
        <v>93917.17999999999</v>
      </c>
      <c r="N298" s="4" t="inlineStr">
        <is>
          <t>OK</t>
        </is>
      </c>
    </row>
    <row r="299">
      <c r="A299" s="4" t="inlineStr">
        <is>
          <t>CLM-102072</t>
        </is>
      </c>
      <c r="B299" s="4" t="inlineStr">
        <is>
          <t>4303828</t>
        </is>
      </c>
      <c r="C299" s="4" t="inlineStr">
        <is>
          <t>Ellery Florists &amp; Sons</t>
        </is>
      </c>
      <c r="D299" s="9" t="n">
        <v>45847</v>
      </c>
      <c r="E299" s="9" t="n">
        <v>46211</v>
      </c>
      <c r="F299" s="4" t="n">
        <v>100000</v>
      </c>
      <c r="G299" s="9" t="n">
        <v>45883</v>
      </c>
      <c r="H299" s="9" t="n">
        <v>45908</v>
      </c>
      <c r="I299" s="4" t="inlineStr">
        <is>
          <t>Open</t>
        </is>
      </c>
      <c r="J299" s="4" t="inlineStr">
        <is>
          <t>USD</t>
        </is>
      </c>
      <c r="K299" s="4" t="n">
        <v>44440.91</v>
      </c>
      <c r="L299" s="4" t="n">
        <v>11282.94</v>
      </c>
      <c r="M299" s="4" t="n">
        <v>55723.85</v>
      </c>
      <c r="N299" s="4" t="inlineStr">
        <is>
          <t>OK</t>
        </is>
      </c>
    </row>
    <row r="300">
      <c r="A300" s="4" t="inlineStr">
        <is>
          <t>CLM-102079</t>
        </is>
      </c>
      <c r="B300" s="4" t="inlineStr">
        <is>
          <t>4414662</t>
        </is>
      </c>
      <c r="C300" s="4" t="inlineStr">
        <is>
          <t>Selby Bakery Group</t>
        </is>
      </c>
      <c r="D300" s="9" t="n">
        <v>45992</v>
      </c>
      <c r="E300" s="9" t="n">
        <v>46356</v>
      </c>
      <c r="F300" s="4" t="n">
        <v>1000000</v>
      </c>
      <c r="G300" s="9" t="n">
        <v>46095</v>
      </c>
      <c r="H300" s="9" t="n">
        <v>46101</v>
      </c>
      <c r="I300" s="4" t="inlineStr">
        <is>
          <t>Closed</t>
        </is>
      </c>
      <c r="J300" s="4" t="inlineStr">
        <is>
          <t>GBP</t>
        </is>
      </c>
      <c r="K300" s="4" t="n">
        <v>23614.9</v>
      </c>
      <c r="L300" s="4" t="n">
        <v>0</v>
      </c>
      <c r="M300" s="4" t="n">
        <v>23614.9</v>
      </c>
      <c r="N300" s="4" t="inlineStr">
        <is>
          <t>OK</t>
        </is>
      </c>
    </row>
    <row r="301">
      <c r="A301" s="4" t="inlineStr">
        <is>
          <t>CLM-102086</t>
        </is>
      </c>
      <c r="B301" s="4" t="inlineStr">
        <is>
          <t>4477914</t>
        </is>
      </c>
      <c r="C301" s="4" t="inlineStr">
        <is>
          <t>Juniper Haulage &amp; Sons</t>
        </is>
      </c>
      <c r="D301" s="9" t="n">
        <v>46013</v>
      </c>
      <c r="E301" s="9" t="n">
        <v>46377</v>
      </c>
      <c r="F301" s="4" t="n">
        <v>100000</v>
      </c>
      <c r="G301" s="9" t="n">
        <v>46285</v>
      </c>
      <c r="H301" s="9" t="n">
        <v>46295</v>
      </c>
      <c r="I301" s="4" t="inlineStr">
        <is>
          <t>Open</t>
        </is>
      </c>
      <c r="J301" s="4" t="inlineStr">
        <is>
          <t>EUR</t>
        </is>
      </c>
      <c r="K301" s="4" t="n">
        <v>15501.02</v>
      </c>
      <c r="L301" s="4" t="n">
        <v>3476.7</v>
      </c>
      <c r="M301" s="4" t="n">
        <v>18977.72</v>
      </c>
      <c r="N301" s="4" t="inlineStr">
        <is>
          <t>OK</t>
        </is>
      </c>
    </row>
    <row r="302">
      <c r="A302" s="4" t="inlineStr">
        <is>
          <t>CLM-102093</t>
        </is>
      </c>
      <c r="B302" s="4" t="inlineStr">
        <is>
          <t>4458371</t>
        </is>
      </c>
      <c r="C302" s="4" t="inlineStr">
        <is>
          <t>Larkspur Florists Group</t>
        </is>
      </c>
      <c r="D302" s="9" t="n">
        <v>45739</v>
      </c>
      <c r="E302" s="9" t="n">
        <v>46103</v>
      </c>
      <c r="F302" s="4" t="n">
        <v>100000</v>
      </c>
      <c r="G302" s="9" t="n">
        <v>45963</v>
      </c>
      <c r="H302" s="9" t="n">
        <v>45967</v>
      </c>
      <c r="I302" s="4" t="inlineStr">
        <is>
          <t>Open</t>
        </is>
      </c>
      <c r="J302" s="4" t="inlineStr">
        <is>
          <t>GBP</t>
        </is>
      </c>
      <c r="K302" s="4" t="n">
        <v>25695.35</v>
      </c>
      <c r="L302" s="4" t="n">
        <v>10754.57</v>
      </c>
      <c r="M302" s="4" t="n">
        <v>36449.92</v>
      </c>
      <c r="N302" s="4" t="inlineStr">
        <is>
          <t>OK</t>
        </is>
      </c>
    </row>
    <row r="303">
      <c r="A303" s="4" t="inlineStr">
        <is>
          <t>CLM-102100</t>
        </is>
      </c>
      <c r="B303" s="4" t="inlineStr">
        <is>
          <t>4234654</t>
        </is>
      </c>
      <c r="C303" s="4" t="inlineStr">
        <is>
          <t>Larkspur Builders Ltd</t>
        </is>
      </c>
      <c r="D303" s="9" t="n">
        <v>45923</v>
      </c>
      <c r="E303" s="9" t="n">
        <v>46287</v>
      </c>
      <c r="F303" s="4" t="n">
        <v>250000</v>
      </c>
      <c r="G303" s="9" t="n">
        <v>46231</v>
      </c>
      <c r="H303" s="9" t="n">
        <v>46271</v>
      </c>
      <c r="I303" s="4" t="inlineStr">
        <is>
          <t>Open</t>
        </is>
      </c>
      <c r="J303" s="4" t="inlineStr">
        <is>
          <t>EUR</t>
        </is>
      </c>
      <c r="K303" s="4" t="n">
        <v>34340.58</v>
      </c>
      <c r="L303" s="4" t="n">
        <v>15241.16</v>
      </c>
      <c r="M303" s="4" t="n">
        <v>49581.74</v>
      </c>
      <c r="N303" s="4" t="inlineStr">
        <is>
          <t>OK</t>
        </is>
      </c>
    </row>
    <row r="304">
      <c r="A304" s="5" t="inlineStr">
        <is>
          <t>CLM-102107</t>
        </is>
      </c>
      <c r="B304" s="4" t="inlineStr">
        <is>
          <t>4759671</t>
        </is>
      </c>
      <c r="C304" s="4" t="inlineStr">
        <is>
          <t>Ballina Florists Limited</t>
        </is>
      </c>
      <c r="D304" s="9" t="n">
        <v>45864</v>
      </c>
      <c r="E304" s="9" t="n">
        <v>46228</v>
      </c>
      <c r="F304" s="4" t="n">
        <v>100000</v>
      </c>
      <c r="G304" s="9" t="n">
        <v>45974</v>
      </c>
      <c r="H304" s="9" t="n">
        <v>45999</v>
      </c>
      <c r="I304" s="4" t="inlineStr">
        <is>
          <t>Open</t>
        </is>
      </c>
      <c r="J304" s="4" t="inlineStr">
        <is>
          <t>USD</t>
        </is>
      </c>
      <c r="K304" s="4" t="n">
        <v>13647.68</v>
      </c>
      <c r="L304" s="4" t="n">
        <v>11647.34</v>
      </c>
      <c r="M304" s="4" t="n">
        <v>25295.02</v>
      </c>
      <c r="N304" s="5" t="inlineStr">
        <is>
          <t>Warning: Probable duplicate: 100% confidence: insured names 'Ballina Florists Limited' / 'Ballina Florists Limited' are 100% similar, loss dates 2025-11-13 / 2025-11-13 are 0 days apart, claim references differ; policy references match; amounts are the same.</t>
        </is>
      </c>
    </row>
    <row r="305">
      <c r="A305" s="4" t="inlineStr">
        <is>
          <t>CLM-102114</t>
        </is>
      </c>
      <c r="B305" s="4" t="inlineStr">
        <is>
          <t>4178215</t>
        </is>
      </c>
      <c r="C305" s="4" t="inlineStr">
        <is>
          <t>Oakham Freight Ltd</t>
        </is>
      </c>
      <c r="D305" s="9" t="n">
        <v>45782</v>
      </c>
      <c r="E305" s="9" t="n">
        <v>46146</v>
      </c>
      <c r="F305" s="4" t="n">
        <v>500000</v>
      </c>
      <c r="G305" s="9" t="n">
        <v>45939</v>
      </c>
      <c r="H305" s="9" t="n">
        <v>45973</v>
      </c>
      <c r="I305" s="4" t="inlineStr">
        <is>
          <t>Open</t>
        </is>
      </c>
      <c r="J305" s="4" t="inlineStr">
        <is>
          <t>GBP</t>
        </is>
      </c>
      <c r="K305" s="4" t="n">
        <v>8754.629999999999</v>
      </c>
      <c r="L305" s="4" t="n">
        <v>4073.86</v>
      </c>
      <c r="M305" s="4" t="n">
        <v>12828.49</v>
      </c>
      <c r="N305" s="4" t="inlineStr">
        <is>
          <t>OK</t>
        </is>
      </c>
    </row>
    <row r="306">
      <c r="A306" s="4" t="inlineStr">
        <is>
          <t>CLM-102121</t>
        </is>
      </c>
      <c r="B306" s="4" t="inlineStr">
        <is>
          <t>4732903</t>
        </is>
      </c>
      <c r="C306" s="4" t="inlineStr">
        <is>
          <t>Galway Bakery &amp; Sons</t>
        </is>
      </c>
      <c r="D306" s="9" t="n">
        <v>45987</v>
      </c>
      <c r="E306" s="9" t="n">
        <v>46351</v>
      </c>
      <c r="F306" s="4" t="n">
        <v>1000000</v>
      </c>
      <c r="G306" s="9" t="n">
        <v>45994</v>
      </c>
      <c r="H306" s="9" t="n">
        <v>46029</v>
      </c>
      <c r="I306" s="4" t="inlineStr">
        <is>
          <t>Closed</t>
        </is>
      </c>
      <c r="J306" s="4" t="inlineStr">
        <is>
          <t>GBP</t>
        </is>
      </c>
      <c r="K306" s="4" t="n">
        <v>43219.79</v>
      </c>
      <c r="L306" s="4" t="n">
        <v>0</v>
      </c>
      <c r="M306" s="4" t="n">
        <v>43219.79</v>
      </c>
      <c r="N306" s="4" t="inlineStr">
        <is>
          <t>OK</t>
        </is>
      </c>
    </row>
    <row r="307">
      <c r="A307" s="4" t="inlineStr">
        <is>
          <t>CLM-102128</t>
        </is>
      </c>
      <c r="B307" s="4" t="inlineStr">
        <is>
          <t>4393607</t>
        </is>
      </c>
      <c r="C307" s="4" t="inlineStr">
        <is>
          <t>Larkspur Farms Group</t>
        </is>
      </c>
      <c r="D307" s="9" t="n">
        <v>45853</v>
      </c>
      <c r="E307" s="9" t="n">
        <v>46217</v>
      </c>
      <c r="F307" s="4" t="n">
        <v>1000000</v>
      </c>
      <c r="G307" s="9" t="n">
        <v>46141</v>
      </c>
      <c r="H307" s="9" t="n">
        <v>46170</v>
      </c>
      <c r="I307" s="4" t="inlineStr">
        <is>
          <t>Open</t>
        </is>
      </c>
      <c r="J307" s="4" t="inlineStr">
        <is>
          <t>GBP</t>
        </is>
      </c>
      <c r="K307" s="4" t="n">
        <v>18939.04</v>
      </c>
      <c r="L307" s="4" t="n">
        <v>1546.68</v>
      </c>
      <c r="M307" s="4" t="n">
        <v>20485.72</v>
      </c>
      <c r="N307" s="4" t="inlineStr">
        <is>
          <t>OK</t>
        </is>
      </c>
    </row>
    <row r="308">
      <c r="A308" s="4" t="inlineStr">
        <is>
          <t>CLM-102135</t>
        </is>
      </c>
      <c r="B308" s="4" t="inlineStr">
        <is>
          <t>4391909</t>
        </is>
      </c>
      <c r="C308" s="4" t="inlineStr">
        <is>
          <t>Norland Garages Ltd</t>
        </is>
      </c>
      <c r="D308" s="9" t="n">
        <v>45800</v>
      </c>
      <c r="E308" s="9" t="n">
        <v>46164</v>
      </c>
      <c r="F308" s="4" t="n">
        <v>1000000</v>
      </c>
      <c r="G308" s="9" t="n">
        <v>45949</v>
      </c>
      <c r="H308" s="9" t="n">
        <v>45983</v>
      </c>
      <c r="I308" s="4" t="inlineStr">
        <is>
          <t>Open</t>
        </is>
      </c>
      <c r="J308" s="4" t="inlineStr">
        <is>
          <t>GBP</t>
        </is>
      </c>
      <c r="K308" s="4" t="n">
        <v>52351.38</v>
      </c>
      <c r="L308" s="4" t="n">
        <v>46513.62</v>
      </c>
      <c r="M308" s="4" t="n">
        <v>98865</v>
      </c>
      <c r="N308" s="4" t="inlineStr">
        <is>
          <t>OK</t>
        </is>
      </c>
    </row>
    <row r="309">
      <c r="A309" s="4" t="inlineStr">
        <is>
          <t>CLM-102142</t>
        </is>
      </c>
      <c r="B309" s="4" t="inlineStr">
        <is>
          <t>4804826</t>
        </is>
      </c>
      <c r="C309" s="4" t="inlineStr">
        <is>
          <t>Norland Pharmacy Group</t>
        </is>
      </c>
      <c r="D309" s="9" t="n">
        <v>45750</v>
      </c>
      <c r="E309" s="9" t="n">
        <v>46114</v>
      </c>
      <c r="F309" s="4" t="n">
        <v>100000</v>
      </c>
      <c r="G309" s="9" t="n">
        <v>45910</v>
      </c>
      <c r="H309" s="9" t="n">
        <v>45932</v>
      </c>
      <c r="I309" s="4" t="inlineStr">
        <is>
          <t>Open</t>
        </is>
      </c>
      <c r="J309" s="4" t="inlineStr">
        <is>
          <t>USD</t>
        </is>
      </c>
      <c r="K309" s="4" t="n">
        <v>11971.4</v>
      </c>
      <c r="L309" s="4" t="n">
        <v>15373.54</v>
      </c>
      <c r="M309" s="4" t="n">
        <v>27344.94</v>
      </c>
      <c r="N309" s="4" t="inlineStr">
        <is>
          <t>OK</t>
        </is>
      </c>
    </row>
    <row r="310">
      <c r="A310" s="4" t="inlineStr">
        <is>
          <t>CLM-102149</t>
        </is>
      </c>
      <c r="B310" s="4" t="inlineStr">
        <is>
          <t>4012691</t>
        </is>
      </c>
      <c r="C310" s="4" t="inlineStr">
        <is>
          <t>Ardmore Marine Group</t>
        </is>
      </c>
      <c r="D310" s="9" t="n">
        <v>45717</v>
      </c>
      <c r="E310" s="9" t="n">
        <v>46081</v>
      </c>
      <c r="F310" s="4" t="n">
        <v>250000</v>
      </c>
      <c r="G310" s="9" t="n">
        <v>45755</v>
      </c>
      <c r="H310" s="9" t="n">
        <v>45777</v>
      </c>
      <c r="I310" s="4" t="inlineStr">
        <is>
          <t>Open</t>
        </is>
      </c>
      <c r="J310" s="4" t="inlineStr">
        <is>
          <t>GBP</t>
        </is>
      </c>
      <c r="K310" s="4" t="n">
        <v>12243.96</v>
      </c>
      <c r="L310" s="4" t="n">
        <v>45886.97</v>
      </c>
      <c r="M310" s="4" t="n">
        <v>58130.93</v>
      </c>
      <c r="N310" s="4" t="inlineStr">
        <is>
          <t>OK</t>
        </is>
      </c>
    </row>
    <row r="311">
      <c r="A311" s="4" t="inlineStr">
        <is>
          <t>CLM-102156</t>
        </is>
      </c>
      <c r="B311" s="4" t="inlineStr">
        <is>
          <t>4071576</t>
        </is>
      </c>
      <c r="C311" s="4" t="inlineStr">
        <is>
          <t>Ashby Florists Holdings</t>
        </is>
      </c>
      <c r="D311" s="9" t="n">
        <v>45916</v>
      </c>
      <c r="E311" s="9" t="n">
        <v>46280</v>
      </c>
      <c r="F311" s="4" t="n">
        <v>250000</v>
      </c>
      <c r="G311" s="9" t="n">
        <v>46225</v>
      </c>
      <c r="H311" s="9" t="n">
        <v>46260</v>
      </c>
      <c r="I311" s="4" t="inlineStr">
        <is>
          <t>Reopened</t>
        </is>
      </c>
      <c r="J311" s="4" t="inlineStr">
        <is>
          <t>EUR</t>
        </is>
      </c>
      <c r="K311" s="4" t="n">
        <v>48017.81</v>
      </c>
      <c r="L311" s="4" t="n">
        <v>51956.96</v>
      </c>
      <c r="M311" s="4" t="n">
        <v>99974.77</v>
      </c>
      <c r="N311" s="4" t="inlineStr">
        <is>
          <t>OK</t>
        </is>
      </c>
    </row>
    <row r="312">
      <c r="A312" s="4" t="inlineStr">
        <is>
          <t>CLM-102163</t>
        </is>
      </c>
      <c r="B312" s="4" t="inlineStr">
        <is>
          <t>4466065</t>
        </is>
      </c>
      <c r="C312" s="4" t="inlineStr">
        <is>
          <t>Ballina Builders Group</t>
        </is>
      </c>
      <c r="D312" s="9" t="n">
        <v>45847</v>
      </c>
      <c r="E312" s="9" t="n">
        <v>46211</v>
      </c>
      <c r="F312" s="4" t="n">
        <v>100000</v>
      </c>
      <c r="G312" s="9" t="n">
        <v>45958</v>
      </c>
      <c r="H312" s="9" t="n">
        <v>45960</v>
      </c>
      <c r="I312" s="4" t="inlineStr">
        <is>
          <t>Closed</t>
        </is>
      </c>
      <c r="J312" s="4" t="inlineStr">
        <is>
          <t>GBP</t>
        </is>
      </c>
      <c r="K312" s="4" t="n">
        <v>30617.8</v>
      </c>
      <c r="L312" s="4" t="n">
        <v>0</v>
      </c>
      <c r="M312" s="4" t="n">
        <v>30617.8</v>
      </c>
      <c r="N312" s="4" t="inlineStr">
        <is>
          <t>OK</t>
        </is>
      </c>
    </row>
    <row r="313">
      <c r="A313" s="4" t="inlineStr">
        <is>
          <t>CLM-102170</t>
        </is>
      </c>
      <c r="B313" s="4" t="inlineStr">
        <is>
          <t>4179591</t>
        </is>
      </c>
      <c r="C313" s="4" t="inlineStr">
        <is>
          <t>Westbury Dental Limited</t>
        </is>
      </c>
      <c r="D313" s="9" t="n">
        <v>45957</v>
      </c>
      <c r="E313" s="9" t="n">
        <v>46321</v>
      </c>
      <c r="F313" s="4" t="n">
        <v>100000</v>
      </c>
      <c r="G313" s="9" t="n">
        <v>46089</v>
      </c>
      <c r="H313" s="9" t="n">
        <v>46114</v>
      </c>
      <c r="I313" s="4" t="inlineStr">
        <is>
          <t>Open</t>
        </is>
      </c>
      <c r="J313" s="4" t="inlineStr">
        <is>
          <t>GBP</t>
        </is>
      </c>
      <c r="K313" s="4" t="n">
        <v>43836.73</v>
      </c>
      <c r="L313" s="4" t="n">
        <v>14320.26</v>
      </c>
      <c r="M313" s="4" t="n">
        <v>58156.99</v>
      </c>
      <c r="N313" s="4" t="inlineStr">
        <is>
          <t>OK</t>
        </is>
      </c>
    </row>
    <row r="314">
      <c r="A314" s="4" t="inlineStr">
        <is>
          <t>CLM-102177</t>
        </is>
      </c>
      <c r="B314" s="4" t="inlineStr">
        <is>
          <t>4004660</t>
        </is>
      </c>
      <c r="C314" s="4" t="inlineStr">
        <is>
          <t>Dunmore Farms LLP</t>
        </is>
      </c>
      <c r="D314" s="9" t="n">
        <v>45992</v>
      </c>
      <c r="E314" s="9" t="n">
        <v>46356</v>
      </c>
      <c r="F314" s="4" t="n">
        <v>500000</v>
      </c>
      <c r="G314" s="9" t="n">
        <v>46109</v>
      </c>
      <c r="H314" s="9" t="n">
        <v>46126</v>
      </c>
      <c r="I314" s="4" t="inlineStr">
        <is>
          <t>Open</t>
        </is>
      </c>
      <c r="J314" s="4" t="inlineStr">
        <is>
          <t>USD</t>
        </is>
      </c>
      <c r="K314" s="4" t="n">
        <v>28729.61</v>
      </c>
      <c r="L314" s="4" t="n">
        <v>57000.05</v>
      </c>
      <c r="M314" s="4" t="n">
        <v>85729.66</v>
      </c>
      <c r="N314" s="4" t="inlineStr">
        <is>
          <t>OK</t>
        </is>
      </c>
    </row>
    <row r="315">
      <c r="A315" s="4" t="inlineStr">
        <is>
          <t>CLM-102184</t>
        </is>
      </c>
      <c r="B315" s="4" t="inlineStr">
        <is>
          <t>4659117</t>
        </is>
      </c>
      <c r="C315" s="4" t="inlineStr">
        <is>
          <t>Hollis Pharmacy Holdings</t>
        </is>
      </c>
      <c r="D315" s="9" t="n">
        <v>45789</v>
      </c>
      <c r="E315" s="9" t="n">
        <v>46153</v>
      </c>
      <c r="F315" s="4" t="n">
        <v>250000</v>
      </c>
      <c r="G315" s="9" t="n">
        <v>46092</v>
      </c>
      <c r="H315" s="9" t="n">
        <v>46101</v>
      </c>
      <c r="I315" s="4" t="inlineStr">
        <is>
          <t>Open</t>
        </is>
      </c>
      <c r="J315" s="4" t="inlineStr">
        <is>
          <t>GBP</t>
        </is>
      </c>
      <c r="K315" s="4" t="n">
        <v>13914.53</v>
      </c>
      <c r="L315" s="4" t="n">
        <v>72801.56</v>
      </c>
      <c r="M315" s="4" t="n">
        <v>86716.09</v>
      </c>
      <c r="N315" s="4" t="inlineStr">
        <is>
          <t>OK</t>
        </is>
      </c>
    </row>
    <row r="316">
      <c r="A316" s="4" t="inlineStr">
        <is>
          <t>CLM-102191</t>
        </is>
      </c>
      <c r="B316" s="4" t="inlineStr">
        <is>
          <t>4111965</t>
        </is>
      </c>
      <c r="C316" s="4" t="inlineStr">
        <is>
          <t>Yarrow Textiles plc</t>
        </is>
      </c>
      <c r="D316" s="9" t="n">
        <v>45969</v>
      </c>
      <c r="E316" s="9" t="n">
        <v>46333</v>
      </c>
      <c r="F316" s="4" t="n">
        <v>1000000</v>
      </c>
      <c r="G316" s="9" t="n">
        <v>46167</v>
      </c>
      <c r="H316" s="9" t="n">
        <v>46196</v>
      </c>
      <c r="I316" s="4" t="inlineStr">
        <is>
          <t>Open</t>
        </is>
      </c>
      <c r="J316" s="4" t="inlineStr">
        <is>
          <t>GBP</t>
        </is>
      </c>
      <c r="K316" s="4" t="n">
        <v>34375.98</v>
      </c>
      <c r="L316" s="4" t="n">
        <v>26709.23</v>
      </c>
      <c r="M316" s="4" t="n">
        <v>61085.21</v>
      </c>
      <c r="N316" s="4" t="inlineStr">
        <is>
          <t>OK</t>
        </is>
      </c>
    </row>
    <row r="317">
      <c r="A317" s="4" t="inlineStr">
        <is>
          <t>CLM-102198</t>
        </is>
      </c>
      <c r="B317" s="4" t="inlineStr">
        <is>
          <t>4070410</t>
        </is>
      </c>
      <c r="C317" s="4" t="inlineStr">
        <is>
          <t>Thornbury Electrical Group</t>
        </is>
      </c>
      <c r="D317" s="9" t="n">
        <v>45735</v>
      </c>
      <c r="E317" s="9" t="n">
        <v>46099</v>
      </c>
      <c r="F317" s="4" t="n">
        <v>1000000</v>
      </c>
      <c r="G317" s="9" t="n">
        <v>45798</v>
      </c>
      <c r="H317" s="9" t="n">
        <v>45833</v>
      </c>
      <c r="I317" s="4" t="inlineStr">
        <is>
          <t>Closed</t>
        </is>
      </c>
      <c r="J317" s="4" t="inlineStr">
        <is>
          <t>EUR</t>
        </is>
      </c>
      <c r="K317" s="4" t="n">
        <v>39189.13</v>
      </c>
      <c r="L317" s="4" t="n">
        <v>0</v>
      </c>
      <c r="M317" s="4" t="n">
        <v>39189.13</v>
      </c>
      <c r="N317" s="4" t="inlineStr">
        <is>
          <t>OK</t>
        </is>
      </c>
    </row>
    <row r="318">
      <c r="A318" s="4" t="inlineStr">
        <is>
          <t>CLM-102205</t>
        </is>
      </c>
      <c r="B318" s="4" t="inlineStr">
        <is>
          <t>4821697</t>
        </is>
      </c>
      <c r="C318" s="4" t="inlineStr">
        <is>
          <t>Westbury Florists Ltd</t>
        </is>
      </c>
      <c r="D318" s="9" t="n">
        <v>45760</v>
      </c>
      <c r="E318" s="9" t="n">
        <v>46124</v>
      </c>
      <c r="F318" s="4" t="n">
        <v>500000</v>
      </c>
      <c r="G318" s="9" t="n">
        <v>45982</v>
      </c>
      <c r="H318" s="9" t="n">
        <v>46000</v>
      </c>
      <c r="I318" s="4" t="inlineStr">
        <is>
          <t>Open</t>
        </is>
      </c>
      <c r="J318" s="4" t="inlineStr">
        <is>
          <t>GBP</t>
        </is>
      </c>
      <c r="K318" s="4" t="n">
        <v>50991.41</v>
      </c>
      <c r="L318" s="4" t="n">
        <v>66619.11</v>
      </c>
      <c r="M318" s="4" t="n">
        <v>117610.52</v>
      </c>
      <c r="N318" s="4" t="inlineStr">
        <is>
          <t>OK</t>
        </is>
      </c>
    </row>
    <row r="319">
      <c r="A319" s="4" t="inlineStr">
        <is>
          <t>CLM-102212</t>
        </is>
      </c>
      <c r="B319" s="4" t="inlineStr">
        <is>
          <t>4050696</t>
        </is>
      </c>
      <c r="C319" s="4" t="inlineStr">
        <is>
          <t>Upton Farms LLP</t>
        </is>
      </c>
      <c r="D319" s="9" t="n">
        <v>45725</v>
      </c>
      <c r="E319" s="9" t="n">
        <v>46089</v>
      </c>
      <c r="F319" s="4" t="n">
        <v>250000</v>
      </c>
      <c r="G319" s="9" t="n">
        <v>45959</v>
      </c>
      <c r="H319" s="9" t="n">
        <v>45971</v>
      </c>
      <c r="I319" s="4" t="inlineStr">
        <is>
          <t>Open</t>
        </is>
      </c>
      <c r="J319" s="4" t="inlineStr">
        <is>
          <t>USD</t>
        </is>
      </c>
      <c r="K319" s="4" t="n">
        <v>4344.5</v>
      </c>
      <c r="L319" s="4" t="n">
        <v>8243.379999999999</v>
      </c>
      <c r="M319" s="4" t="n">
        <v>12587.88</v>
      </c>
      <c r="N319" s="4" t="inlineStr">
        <is>
          <t>OK</t>
        </is>
      </c>
    </row>
    <row r="320">
      <c r="A320" s="4" t="inlineStr">
        <is>
          <t>CLM-102219</t>
        </is>
      </c>
      <c r="B320" s="4" t="inlineStr">
        <is>
          <t>4015386</t>
        </is>
      </c>
      <c r="C320" s="4" t="inlineStr">
        <is>
          <t>Brennan Textiles &amp; Sons</t>
        </is>
      </c>
      <c r="D320" s="9" t="n">
        <v>45659</v>
      </c>
      <c r="E320" s="9" t="n">
        <v>46023</v>
      </c>
      <c r="F320" s="4" t="n">
        <v>500000</v>
      </c>
      <c r="G320" s="9" t="n">
        <v>45761</v>
      </c>
      <c r="H320" s="9" t="n">
        <v>45781</v>
      </c>
      <c r="I320" s="4" t="inlineStr">
        <is>
          <t>Open</t>
        </is>
      </c>
      <c r="J320" s="4" t="inlineStr">
        <is>
          <t>GBP</t>
        </is>
      </c>
      <c r="K320" s="4" t="n">
        <v>778.3200000000001</v>
      </c>
      <c r="L320" s="4" t="n">
        <v>51857</v>
      </c>
      <c r="M320" s="4" t="n">
        <v>52635.32</v>
      </c>
      <c r="N320" s="4" t="inlineStr">
        <is>
          <t>OK</t>
        </is>
      </c>
    </row>
    <row r="321">
      <c r="A321" s="4" t="inlineStr">
        <is>
          <t>CLM-102226</t>
        </is>
      </c>
      <c r="B321" s="4" t="inlineStr">
        <is>
          <t>4389203</t>
        </is>
      </c>
      <c r="C321" s="4" t="inlineStr">
        <is>
          <t>Thornbury Farms Limited</t>
        </is>
      </c>
      <c r="D321" s="9" t="n">
        <v>45874</v>
      </c>
      <c r="E321" s="9" t="n">
        <v>46238</v>
      </c>
      <c r="F321" s="4" t="n">
        <v>1000000</v>
      </c>
      <c r="G321" s="9" t="n">
        <v>46091</v>
      </c>
      <c r="H321" s="9" t="n">
        <v>46113</v>
      </c>
      <c r="I321" s="4" t="inlineStr">
        <is>
          <t>Open</t>
        </is>
      </c>
      <c r="J321" s="4" t="inlineStr">
        <is>
          <t>EUR</t>
        </is>
      </c>
      <c r="K321" s="4" t="n">
        <v>58036.78</v>
      </c>
      <c r="L321" s="4" t="n">
        <v>31196.96</v>
      </c>
      <c r="M321" s="4" t="n">
        <v>89233.74000000001</v>
      </c>
      <c r="N321" s="4" t="inlineStr">
        <is>
          <t>OK</t>
        </is>
      </c>
    </row>
    <row r="322">
      <c r="A322" s="4" t="inlineStr">
        <is>
          <t>CLM-102233</t>
        </is>
      </c>
      <c r="B322" s="4" t="inlineStr">
        <is>
          <t>4166322</t>
        </is>
      </c>
      <c r="C322" s="4" t="inlineStr">
        <is>
          <t>Dunmore Haulage Limited</t>
        </is>
      </c>
      <c r="D322" s="9" t="n">
        <v>45782</v>
      </c>
      <c r="E322" s="9" t="n">
        <v>46146</v>
      </c>
      <c r="F322" s="4" t="n">
        <v>500000</v>
      </c>
      <c r="G322" s="9" t="n">
        <v>45823</v>
      </c>
      <c r="H322" s="9" t="n">
        <v>45839</v>
      </c>
      <c r="I322" s="4" t="inlineStr">
        <is>
          <t>Open</t>
        </is>
      </c>
      <c r="J322" s="4" t="inlineStr">
        <is>
          <t>GBP</t>
        </is>
      </c>
      <c r="K322" s="4" t="n">
        <v>20467.29</v>
      </c>
      <c r="L322" s="4" t="n">
        <v>58640.72</v>
      </c>
      <c r="M322" s="4" t="n">
        <v>79108.00999999999</v>
      </c>
      <c r="N322" s="4" t="inlineStr">
        <is>
          <t>OK</t>
        </is>
      </c>
    </row>
    <row r="323">
      <c r="A323" s="4" t="inlineStr">
        <is>
          <t>CLM-102240</t>
        </is>
      </c>
      <c r="B323" s="4" t="inlineStr">
        <is>
          <t>4152755</t>
        </is>
      </c>
      <c r="C323" s="4" t="inlineStr">
        <is>
          <t>Fenwick Engineering &amp; Sons</t>
        </is>
      </c>
      <c r="D323" s="9" t="n">
        <v>45790</v>
      </c>
      <c r="E323" s="9" t="n">
        <v>46154</v>
      </c>
      <c r="F323" s="4" t="n">
        <v>100000</v>
      </c>
      <c r="G323" s="9" t="n">
        <v>45809</v>
      </c>
      <c r="H323" s="9" t="n">
        <v>45815</v>
      </c>
      <c r="I323" s="4" t="inlineStr">
        <is>
          <t>Open</t>
        </is>
      </c>
      <c r="J323" s="4" t="inlineStr">
        <is>
          <t>GBP</t>
        </is>
      </c>
      <c r="K323" s="4" t="n">
        <v>39929.98</v>
      </c>
      <c r="L323" s="4" t="n">
        <v>1219.43</v>
      </c>
      <c r="M323" s="4" t="n">
        <v>41149.41</v>
      </c>
      <c r="N323" s="4" t="inlineStr">
        <is>
          <t>OK</t>
        </is>
      </c>
    </row>
    <row r="324">
      <c r="A324" s="4" t="inlineStr">
        <is>
          <t>CLM-102247</t>
        </is>
      </c>
      <c r="B324" s="4" t="inlineStr">
        <is>
          <t>4190849</t>
        </is>
      </c>
      <c r="C324" s="4" t="inlineStr">
        <is>
          <t>Brennan Joinery Ltd</t>
        </is>
      </c>
      <c r="D324" s="9" t="n">
        <v>45952</v>
      </c>
      <c r="E324" s="9" t="n">
        <v>46316</v>
      </c>
      <c r="F324" s="4" t="n">
        <v>500000</v>
      </c>
      <c r="G324" s="9" t="n">
        <v>46268</v>
      </c>
      <c r="H324" s="9" t="n">
        <v>46295</v>
      </c>
      <c r="I324" s="4" t="inlineStr">
        <is>
          <t>Open</t>
        </is>
      </c>
      <c r="J324" s="4" t="inlineStr">
        <is>
          <t>EUR</t>
        </is>
      </c>
      <c r="K324" s="4" t="n">
        <v>25345.55</v>
      </c>
      <c r="L324" s="4" t="n">
        <v>65360.02</v>
      </c>
      <c r="M324" s="4" t="n">
        <v>90705.57000000001</v>
      </c>
      <c r="N324" s="4" t="inlineStr">
        <is>
          <t>OK</t>
        </is>
      </c>
    </row>
    <row r="325">
      <c r="A325" s="4" t="inlineStr">
        <is>
          <t>CLM-102254</t>
        </is>
      </c>
      <c r="B325" s="4" t="inlineStr">
        <is>
          <t>4493954</t>
        </is>
      </c>
      <c r="C325" s="4" t="inlineStr">
        <is>
          <t>Norland Logistics Limited</t>
        </is>
      </c>
      <c r="D325" s="9" t="n">
        <v>45942</v>
      </c>
      <c r="E325" s="9" t="n">
        <v>46306</v>
      </c>
      <c r="F325" s="4" t="n">
        <v>100000</v>
      </c>
      <c r="G325" s="9" t="n">
        <v>46149</v>
      </c>
      <c r="H325" s="9" t="n">
        <v>46159</v>
      </c>
      <c r="I325" s="4" t="inlineStr">
        <is>
          <t>Open</t>
        </is>
      </c>
      <c r="J325" s="4" t="inlineStr">
        <is>
          <t>GBP</t>
        </is>
      </c>
      <c r="K325" s="4" t="n">
        <v>31350.84</v>
      </c>
      <c r="L325" s="4" t="n">
        <v>26571.53</v>
      </c>
      <c r="M325" s="4" t="n">
        <v>57922.37</v>
      </c>
      <c r="N325" s="4" t="inlineStr">
        <is>
          <t>OK</t>
        </is>
      </c>
    </row>
    <row r="326">
      <c r="A326" s="4" t="inlineStr">
        <is>
          <t>CLM-102261</t>
        </is>
      </c>
      <c r="B326" s="4" t="inlineStr">
        <is>
          <t>4741852</t>
        </is>
      </c>
      <c r="C326" s="4" t="inlineStr">
        <is>
          <t>Northcote Engineering Holdings</t>
        </is>
      </c>
      <c r="D326" s="9" t="n">
        <v>45986</v>
      </c>
      <c r="E326" s="9" t="n">
        <v>46350</v>
      </c>
      <c r="F326" s="4" t="n">
        <v>1000000</v>
      </c>
      <c r="G326" s="9" t="n">
        <v>45996</v>
      </c>
      <c r="H326" s="9" t="n">
        <v>46014</v>
      </c>
      <c r="I326" s="4" t="inlineStr">
        <is>
          <t>Open</t>
        </is>
      </c>
      <c r="J326" s="4" t="inlineStr">
        <is>
          <t>GBP</t>
        </is>
      </c>
      <c r="K326" s="4" t="n">
        <v>34329.59</v>
      </c>
      <c r="L326" s="4" t="n">
        <v>51538.61</v>
      </c>
      <c r="M326" s="4" t="n">
        <v>85868.2</v>
      </c>
      <c r="N326" s="4" t="inlineStr">
        <is>
          <t>OK</t>
        </is>
      </c>
    </row>
    <row r="327">
      <c r="A327" s="4" t="inlineStr">
        <is>
          <t>CLM-102268</t>
        </is>
      </c>
      <c r="B327" s="4" t="inlineStr">
        <is>
          <t>4837584</t>
        </is>
      </c>
      <c r="C327" s="4" t="inlineStr">
        <is>
          <t>Norland Builders Holdings</t>
        </is>
      </c>
      <c r="D327" s="9" t="n">
        <v>45727</v>
      </c>
      <c r="E327" s="9" t="n">
        <v>46091</v>
      </c>
      <c r="F327" s="4" t="n">
        <v>250000</v>
      </c>
      <c r="G327" s="9" t="n">
        <v>45970</v>
      </c>
      <c r="H327" s="9" t="n">
        <v>45979</v>
      </c>
      <c r="I327" s="4" t="inlineStr">
        <is>
          <t>Open</t>
        </is>
      </c>
      <c r="J327" s="4" t="inlineStr">
        <is>
          <t>GBP</t>
        </is>
      </c>
      <c r="K327" s="4" t="n">
        <v>47928.57</v>
      </c>
      <c r="L327" s="4" t="n">
        <v>18095.69</v>
      </c>
      <c r="M327" s="4" t="n">
        <v>66024.25999999999</v>
      </c>
      <c r="N327" s="4" t="inlineStr">
        <is>
          <t>OK</t>
        </is>
      </c>
    </row>
    <row r="328">
      <c r="A328" s="4" t="inlineStr">
        <is>
          <t>CLM-102275</t>
        </is>
      </c>
      <c r="B328" s="4" t="inlineStr">
        <is>
          <t>4257030</t>
        </is>
      </c>
      <c r="C328" s="4" t="inlineStr">
        <is>
          <t>Northcote Florists &amp; Sons</t>
        </is>
      </c>
      <c r="D328" s="9" t="n">
        <v>45957</v>
      </c>
      <c r="E328" s="9" t="n">
        <v>46321</v>
      </c>
      <c r="F328" s="4" t="n">
        <v>250000</v>
      </c>
      <c r="G328" s="9" t="n">
        <v>46058</v>
      </c>
      <c r="H328" s="9" t="n">
        <v>46082</v>
      </c>
      <c r="I328" s="4" t="inlineStr">
        <is>
          <t>Open</t>
        </is>
      </c>
      <c r="J328" s="4" t="inlineStr">
        <is>
          <t>GBP</t>
        </is>
      </c>
      <c r="K328" s="4" t="n">
        <v>55175.96</v>
      </c>
      <c r="L328" s="4" t="n">
        <v>9073.48</v>
      </c>
      <c r="M328" s="4" t="n">
        <v>64249.44</v>
      </c>
      <c r="N328" s="4" t="inlineStr">
        <is>
          <t>OK</t>
        </is>
      </c>
    </row>
    <row r="329">
      <c r="A329" s="4" t="inlineStr">
        <is>
          <t>CLM-102282</t>
        </is>
      </c>
      <c r="B329" s="4" t="inlineStr">
        <is>
          <t>4401200</t>
        </is>
      </c>
      <c r="C329" s="4" t="inlineStr">
        <is>
          <t>Juniper Haulage plc</t>
        </is>
      </c>
      <c r="D329" s="9" t="n">
        <v>45679</v>
      </c>
      <c r="E329" s="9" t="n">
        <v>46043</v>
      </c>
      <c r="F329" s="4" t="n">
        <v>500000</v>
      </c>
      <c r="G329" s="9" t="n">
        <v>45795</v>
      </c>
      <c r="H329" s="9" t="n">
        <v>45802</v>
      </c>
      <c r="I329" s="4" t="inlineStr">
        <is>
          <t>Closed</t>
        </is>
      </c>
      <c r="J329" s="4" t="inlineStr">
        <is>
          <t>EUR</t>
        </is>
      </c>
      <c r="K329" s="4" t="n">
        <v>21663.27</v>
      </c>
      <c r="L329" s="4" t="n">
        <v>0</v>
      </c>
      <c r="M329" s="4" t="n">
        <v>21663.27</v>
      </c>
      <c r="N329" s="4" t="inlineStr">
        <is>
          <t>OK</t>
        </is>
      </c>
    </row>
    <row r="330">
      <c r="A330" s="4" t="inlineStr">
        <is>
          <t>CLM-102289</t>
        </is>
      </c>
      <c r="B330" s="4" t="inlineStr">
        <is>
          <t>4798445</t>
        </is>
      </c>
      <c r="C330" s="4" t="inlineStr">
        <is>
          <t>Juniper Farms Holdings</t>
        </is>
      </c>
      <c r="D330" s="9" t="n">
        <v>45833</v>
      </c>
      <c r="E330" s="9" t="n">
        <v>46197</v>
      </c>
      <c r="F330" s="4" t="n">
        <v>250000</v>
      </c>
      <c r="G330" s="9" t="n">
        <v>46063</v>
      </c>
      <c r="H330" s="9" t="n">
        <v>46089</v>
      </c>
      <c r="I330" s="4" t="inlineStr">
        <is>
          <t>Open</t>
        </is>
      </c>
      <c r="J330" s="4" t="inlineStr">
        <is>
          <t>USD</t>
        </is>
      </c>
      <c r="K330" s="4" t="n">
        <v>8985.99</v>
      </c>
      <c r="L330" s="4" t="n">
        <v>46251.85</v>
      </c>
      <c r="M330" s="4" t="n">
        <v>55237.84</v>
      </c>
      <c r="N330" s="4" t="inlineStr">
        <is>
          <t>OK</t>
        </is>
      </c>
    </row>
    <row r="331">
      <c r="A331" s="4" t="inlineStr">
        <is>
          <t>CLM-102296</t>
        </is>
      </c>
      <c r="B331" s="4" t="inlineStr">
        <is>
          <t>4261336</t>
        </is>
      </c>
      <c r="C331" s="4" t="inlineStr">
        <is>
          <t>Hollis Motors &amp; Sons</t>
        </is>
      </c>
      <c r="D331" s="9" t="n">
        <v>45684</v>
      </c>
      <c r="E331" s="9" t="n">
        <v>46048</v>
      </c>
      <c r="F331" s="4" t="n">
        <v>500000</v>
      </c>
      <c r="G331" s="9" t="n">
        <v>45972</v>
      </c>
      <c r="H331" s="9" t="n">
        <v>46011</v>
      </c>
      <c r="I331" s="4" t="inlineStr">
        <is>
          <t>Open</t>
        </is>
      </c>
      <c r="J331" s="4" t="inlineStr">
        <is>
          <t>EUR</t>
        </is>
      </c>
      <c r="K331" s="4" t="n">
        <v>31840.82</v>
      </c>
      <c r="L331" s="4" t="n">
        <v>67873.47</v>
      </c>
      <c r="M331" s="4" t="n">
        <v>99714.28999999999</v>
      </c>
      <c r="N331" s="4" t="inlineStr">
        <is>
          <t>OK</t>
        </is>
      </c>
    </row>
    <row r="332">
      <c r="A332" s="4" t="inlineStr">
        <is>
          <t>CLM-102303</t>
        </is>
      </c>
      <c r="B332" s="4" t="inlineStr">
        <is>
          <t>4078515</t>
        </is>
      </c>
      <c r="C332" s="4" t="inlineStr">
        <is>
          <t>Fenwick Marine Group</t>
        </is>
      </c>
      <c r="D332" s="9" t="n">
        <v>45816</v>
      </c>
      <c r="E332" s="9" t="n">
        <v>46180</v>
      </c>
      <c r="F332" s="4" t="n">
        <v>500000</v>
      </c>
      <c r="G332" s="9" t="n">
        <v>45924</v>
      </c>
      <c r="H332" s="9" t="n">
        <v>45952</v>
      </c>
      <c r="I332" s="4" t="inlineStr">
        <is>
          <t>Open</t>
        </is>
      </c>
      <c r="J332" s="4" t="inlineStr">
        <is>
          <t>USD</t>
        </is>
      </c>
      <c r="K332" s="4" t="n">
        <v>17059.04</v>
      </c>
      <c r="L332" s="4" t="n">
        <v>52048.67</v>
      </c>
      <c r="M332" s="4" t="n">
        <v>69107.71000000001</v>
      </c>
      <c r="N332" s="4" t="inlineStr">
        <is>
          <t>OK</t>
        </is>
      </c>
    </row>
    <row r="333">
      <c r="A333" s="4" t="inlineStr">
        <is>
          <t>CLM-102310</t>
        </is>
      </c>
      <c r="B333" s="4" t="inlineStr">
        <is>
          <t>4187599</t>
        </is>
      </c>
      <c r="C333" s="4" t="inlineStr">
        <is>
          <t>Calder Farms Limited</t>
        </is>
      </c>
      <c r="D333" s="9" t="n">
        <v>45767</v>
      </c>
      <c r="E333" s="9" t="n">
        <v>46131</v>
      </c>
      <c r="F333" s="4" t="n">
        <v>100000</v>
      </c>
      <c r="G333" s="9" t="n">
        <v>45914</v>
      </c>
      <c r="H333" s="9" t="n">
        <v>45931</v>
      </c>
      <c r="I333" s="4" t="inlineStr">
        <is>
          <t>Open</t>
        </is>
      </c>
      <c r="J333" s="4" t="inlineStr">
        <is>
          <t>USD</t>
        </is>
      </c>
      <c r="K333" s="4" t="n">
        <v>16118.51</v>
      </c>
      <c r="L333" s="4" t="n">
        <v>32174.6</v>
      </c>
      <c r="M333" s="4" t="n">
        <v>48293.11</v>
      </c>
      <c r="N333" s="4" t="inlineStr">
        <is>
          <t>OK</t>
        </is>
      </c>
    </row>
    <row r="334">
      <c r="A334" s="4" t="inlineStr">
        <is>
          <t>CLM-102317</t>
        </is>
      </c>
      <c r="B334" s="4" t="inlineStr">
        <is>
          <t>4201232</t>
        </is>
      </c>
      <c r="C334" s="4" t="inlineStr">
        <is>
          <t>Juniper Florists Group</t>
        </is>
      </c>
      <c r="D334" s="9" t="n">
        <v>45774</v>
      </c>
      <c r="E334" s="9" t="n">
        <v>46138</v>
      </c>
      <c r="F334" s="4" t="n">
        <v>1000000</v>
      </c>
      <c r="G334" s="9" t="n">
        <v>45948</v>
      </c>
      <c r="H334" s="9" t="n">
        <v>45962</v>
      </c>
      <c r="I334" s="4" t="inlineStr">
        <is>
          <t>Open</t>
        </is>
      </c>
      <c r="J334" s="4" t="inlineStr">
        <is>
          <t>GBP</t>
        </is>
      </c>
      <c r="K334" s="4" t="n">
        <v>40669.48</v>
      </c>
      <c r="L334" s="4" t="n">
        <v>27412.21</v>
      </c>
      <c r="M334" s="4" t="n">
        <v>68081.69</v>
      </c>
      <c r="N334" s="4" t="inlineStr">
        <is>
          <t>OK</t>
        </is>
      </c>
    </row>
    <row r="335">
      <c r="A335" s="4" t="inlineStr">
        <is>
          <t>CLM-102324</t>
        </is>
      </c>
      <c r="B335" s="4" t="inlineStr">
        <is>
          <t>4861498</t>
        </is>
      </c>
      <c r="C335" s="4" t="inlineStr">
        <is>
          <t>Kestrel Joinery &amp; Sons</t>
        </is>
      </c>
      <c r="D335" s="9" t="n">
        <v>45814</v>
      </c>
      <c r="E335" s="9" t="n">
        <v>46178</v>
      </c>
      <c r="F335" s="4" t="n">
        <v>500000</v>
      </c>
      <c r="G335" s="9" t="n">
        <v>46144</v>
      </c>
      <c r="H335" s="9" t="n">
        <v>46166</v>
      </c>
      <c r="I335" s="4" t="inlineStr">
        <is>
          <t>Open</t>
        </is>
      </c>
      <c r="J335" s="4" t="inlineStr">
        <is>
          <t>USD</t>
        </is>
      </c>
      <c r="K335" s="4" t="n">
        <v>58097.78</v>
      </c>
      <c r="L335" s="4" t="n">
        <v>1994.8</v>
      </c>
      <c r="M335" s="4" t="n">
        <v>60092.58</v>
      </c>
      <c r="N335" s="4" t="inlineStr">
        <is>
          <t>OK</t>
        </is>
      </c>
    </row>
    <row r="336">
      <c r="A336" s="4" t="inlineStr">
        <is>
          <t>CLM-102331</t>
        </is>
      </c>
      <c r="B336" s="4" t="inlineStr">
        <is>
          <t>4018636</t>
        </is>
      </c>
      <c r="C336" s="4" t="inlineStr">
        <is>
          <t>Ballina Garages Ltd</t>
        </is>
      </c>
      <c r="D336" s="9" t="n">
        <v>45759</v>
      </c>
      <c r="E336" s="9" t="n">
        <v>46123</v>
      </c>
      <c r="F336" s="4" t="n">
        <v>1000000</v>
      </c>
      <c r="G336" s="9" t="n">
        <v>45764</v>
      </c>
      <c r="H336" s="9" t="n">
        <v>45800</v>
      </c>
      <c r="I336" s="4" t="inlineStr">
        <is>
          <t>Closed</t>
        </is>
      </c>
      <c r="J336" s="4" t="inlineStr">
        <is>
          <t>EUR</t>
        </is>
      </c>
      <c r="K336" s="4" t="n">
        <v>303.22</v>
      </c>
      <c r="L336" s="4" t="n">
        <v>0</v>
      </c>
      <c r="M336" s="4" t="n">
        <v>303.22</v>
      </c>
      <c r="N336" s="4" t="inlineStr">
        <is>
          <t>OK</t>
        </is>
      </c>
    </row>
    <row r="337">
      <c r="A337" s="4" t="inlineStr">
        <is>
          <t>CLM-102338</t>
        </is>
      </c>
      <c r="B337" s="4" t="inlineStr">
        <is>
          <t>4765261</t>
        </is>
      </c>
      <c r="C337" s="4" t="inlineStr">
        <is>
          <t>Merrow Joinery Holdings</t>
        </is>
      </c>
      <c r="D337" s="9" t="n">
        <v>45809</v>
      </c>
      <c r="E337" s="9" t="n">
        <v>46173</v>
      </c>
      <c r="F337" s="4" t="n">
        <v>250000</v>
      </c>
      <c r="G337" s="9" t="n">
        <v>45987</v>
      </c>
      <c r="H337" s="9" t="n">
        <v>46025</v>
      </c>
      <c r="I337" s="4" t="inlineStr">
        <is>
          <t>Closed</t>
        </is>
      </c>
      <c r="J337" s="4" t="inlineStr">
        <is>
          <t>GBP</t>
        </is>
      </c>
      <c r="K337" s="4" t="n">
        <v>9266.49</v>
      </c>
      <c r="L337" s="4" t="n">
        <v>0</v>
      </c>
      <c r="M337" s="4" t="n">
        <v>9266.49</v>
      </c>
      <c r="N337" s="4" t="inlineStr">
        <is>
          <t>OK</t>
        </is>
      </c>
    </row>
    <row r="338">
      <c r="A338" s="4" t="inlineStr">
        <is>
          <t>CLM-102345</t>
        </is>
      </c>
      <c r="B338" s="4" t="inlineStr">
        <is>
          <t>4413864</t>
        </is>
      </c>
      <c r="C338" s="4" t="inlineStr">
        <is>
          <t>Juniper Electrical Ltd</t>
        </is>
      </c>
      <c r="D338" s="9" t="n">
        <v>45916</v>
      </c>
      <c r="E338" s="9" t="n">
        <v>46280</v>
      </c>
      <c r="F338" s="4" t="n">
        <v>250000</v>
      </c>
      <c r="G338" s="9" t="n">
        <v>46101</v>
      </c>
      <c r="H338" s="9" t="n">
        <v>46138</v>
      </c>
      <c r="I338" s="4" t="inlineStr">
        <is>
          <t>Open</t>
        </is>
      </c>
      <c r="J338" s="4" t="inlineStr">
        <is>
          <t>GBP</t>
        </is>
      </c>
      <c r="K338" s="4" t="n">
        <v>11646.27</v>
      </c>
      <c r="L338" s="4" t="n">
        <v>24942.79</v>
      </c>
      <c r="M338" s="4" t="n">
        <v>36589.06</v>
      </c>
      <c r="N338" s="4" t="inlineStr">
        <is>
          <t>OK</t>
        </is>
      </c>
    </row>
    <row r="339">
      <c r="A339" s="4" t="inlineStr">
        <is>
          <t>CLM-102352</t>
        </is>
      </c>
      <c r="B339" s="4" t="inlineStr">
        <is>
          <t>4311505</t>
        </is>
      </c>
      <c r="C339" s="4" t="inlineStr">
        <is>
          <t>Norland Motors Group</t>
        </is>
      </c>
      <c r="D339" s="9" t="n">
        <v>45944</v>
      </c>
      <c r="E339" s="9" t="n">
        <v>46308</v>
      </c>
      <c r="F339" s="4" t="n">
        <v>500000</v>
      </c>
      <c r="G339" s="9" t="n">
        <v>46117</v>
      </c>
      <c r="H339" s="9" t="n">
        <v>46125</v>
      </c>
      <c r="I339" s="4" t="inlineStr">
        <is>
          <t>Open</t>
        </is>
      </c>
      <c r="J339" s="4" t="inlineStr">
        <is>
          <t>GBP</t>
        </is>
      </c>
      <c r="K339" s="4" t="n">
        <v>49833.52</v>
      </c>
      <c r="L339" s="4" t="n">
        <v>36459.93</v>
      </c>
      <c r="M339" s="4" t="n">
        <v>86293.45</v>
      </c>
      <c r="N339" s="4" t="inlineStr">
        <is>
          <t>OK</t>
        </is>
      </c>
    </row>
    <row r="340">
      <c r="A340" s="4" t="inlineStr">
        <is>
          <t>CLM-102359</t>
        </is>
      </c>
      <c r="B340" s="4" t="inlineStr">
        <is>
          <t>4816480</t>
        </is>
      </c>
      <c r="C340" s="4" t="inlineStr">
        <is>
          <t>Fenwick Farms plc</t>
        </is>
      </c>
      <c r="D340" s="9" t="n">
        <v>45671</v>
      </c>
      <c r="E340" s="9" t="n">
        <v>46035</v>
      </c>
      <c r="F340" s="4" t="n">
        <v>250000</v>
      </c>
      <c r="G340" s="9" t="n">
        <v>45938</v>
      </c>
      <c r="H340" s="9" t="n">
        <v>45953</v>
      </c>
      <c r="I340" s="4" t="inlineStr">
        <is>
          <t>Open</t>
        </is>
      </c>
      <c r="J340" s="4" t="inlineStr">
        <is>
          <t>USD</t>
        </is>
      </c>
      <c r="K340" s="4" t="n">
        <v>5633.23</v>
      </c>
      <c r="L340" s="4" t="n">
        <v>40597.17</v>
      </c>
      <c r="M340" s="4" t="n">
        <v>46230.4</v>
      </c>
      <c r="N340" s="4" t="inlineStr">
        <is>
          <t>OK</t>
        </is>
      </c>
    </row>
    <row r="341">
      <c r="A341" s="4" t="inlineStr">
        <is>
          <t>CLM-102366</t>
        </is>
      </c>
      <c r="B341" s="4" t="inlineStr">
        <is>
          <t>4849668</t>
        </is>
      </c>
      <c r="C341" s="4" t="inlineStr">
        <is>
          <t>Yarrow Joinery Holdings</t>
        </is>
      </c>
      <c r="D341" s="9" t="n">
        <v>45864</v>
      </c>
      <c r="E341" s="9" t="n">
        <v>46228</v>
      </c>
      <c r="F341" s="4" t="n">
        <v>500000</v>
      </c>
      <c r="G341" s="9" t="n">
        <v>45880</v>
      </c>
      <c r="H341" s="9" t="n">
        <v>45896</v>
      </c>
      <c r="I341" s="4" t="inlineStr">
        <is>
          <t>Open</t>
        </is>
      </c>
      <c r="J341" s="4" t="inlineStr">
        <is>
          <t>GBP</t>
        </is>
      </c>
      <c r="K341" s="4" t="n">
        <v>59539.55</v>
      </c>
      <c r="L341" s="4" t="n">
        <v>2438.01</v>
      </c>
      <c r="M341" s="4" t="n">
        <v>61977.56</v>
      </c>
      <c r="N341" s="4" t="inlineStr">
        <is>
          <t>OK</t>
        </is>
      </c>
    </row>
    <row r="342">
      <c r="A342" s="4" t="inlineStr">
        <is>
          <t>CLM-102373</t>
        </is>
      </c>
      <c r="B342" s="4" t="inlineStr">
        <is>
          <t>4103096</t>
        </is>
      </c>
      <c r="C342" s="4" t="inlineStr">
        <is>
          <t>Rathmore Garages Group</t>
        </is>
      </c>
      <c r="D342" s="9" t="n">
        <v>45816</v>
      </c>
      <c r="E342" s="9" t="n">
        <v>46180</v>
      </c>
      <c r="F342" s="4" t="n">
        <v>250000</v>
      </c>
      <c r="G342" s="9" t="n">
        <v>45840</v>
      </c>
      <c r="H342" s="9" t="n">
        <v>45863</v>
      </c>
      <c r="I342" s="4" t="inlineStr">
        <is>
          <t>Closed</t>
        </is>
      </c>
      <c r="J342" s="4" t="inlineStr">
        <is>
          <t>GBP</t>
        </is>
      </c>
      <c r="K342" s="4" t="n">
        <v>42794.03</v>
      </c>
      <c r="L342" s="4" t="n">
        <v>0</v>
      </c>
      <c r="M342" s="4" t="n">
        <v>42794.03</v>
      </c>
      <c r="N342" s="4" t="inlineStr">
        <is>
          <t>OK</t>
        </is>
      </c>
    </row>
    <row r="343">
      <c r="A343" s="4" t="inlineStr">
        <is>
          <t>CLM-102380</t>
        </is>
      </c>
      <c r="B343" s="4" t="inlineStr">
        <is>
          <t>4288265</t>
        </is>
      </c>
      <c r="C343" s="4" t="inlineStr">
        <is>
          <t>Westbury Garages &amp; Sons</t>
        </is>
      </c>
      <c r="D343" s="9" t="n">
        <v>45833</v>
      </c>
      <c r="E343" s="9" t="n">
        <v>46197</v>
      </c>
      <c r="F343" s="4" t="n">
        <v>1000000</v>
      </c>
      <c r="G343" s="9" t="n">
        <v>45945</v>
      </c>
      <c r="H343" s="9" t="n">
        <v>45947</v>
      </c>
      <c r="I343" s="4" t="inlineStr">
        <is>
          <t>Open</t>
        </is>
      </c>
      <c r="J343" s="4" t="inlineStr">
        <is>
          <t>GBP</t>
        </is>
      </c>
      <c r="K343" s="4" t="n">
        <v>3272.19</v>
      </c>
      <c r="L343" s="4" t="n">
        <v>33910.11</v>
      </c>
      <c r="M343" s="4" t="n">
        <v>37182.3</v>
      </c>
      <c r="N343" s="4" t="inlineStr">
        <is>
          <t>OK</t>
        </is>
      </c>
    </row>
    <row r="344">
      <c r="A344" s="4" t="inlineStr">
        <is>
          <t>CLM-102387</t>
        </is>
      </c>
      <c r="B344" s="4" t="inlineStr">
        <is>
          <t>4016685</t>
        </is>
      </c>
      <c r="C344" s="4" t="inlineStr">
        <is>
          <t>Harbour Haulage Holdings</t>
        </is>
      </c>
      <c r="D344" s="9" t="n">
        <v>45903</v>
      </c>
      <c r="E344" s="9" t="n">
        <v>46267</v>
      </c>
      <c r="F344" s="4" t="n">
        <v>500000</v>
      </c>
      <c r="G344" s="9" t="n">
        <v>46105</v>
      </c>
      <c r="H344" s="9" t="n">
        <v>46141</v>
      </c>
      <c r="I344" s="4" t="inlineStr">
        <is>
          <t>Open</t>
        </is>
      </c>
      <c r="J344" s="4" t="inlineStr">
        <is>
          <t>GBP</t>
        </is>
      </c>
      <c r="K344" s="4" t="n">
        <v>248.94</v>
      </c>
      <c r="L344" s="4" t="n">
        <v>53287.16</v>
      </c>
      <c r="M344" s="4" t="n">
        <v>53536.1</v>
      </c>
      <c r="N344" s="4" t="inlineStr">
        <is>
          <t>OK</t>
        </is>
      </c>
    </row>
    <row r="345">
      <c r="A345" s="4" t="inlineStr">
        <is>
          <t>CLM-102394</t>
        </is>
      </c>
      <c r="B345" s="4" t="inlineStr">
        <is>
          <t>4707345</t>
        </is>
      </c>
      <c r="C345" s="4" t="inlineStr">
        <is>
          <t>Northcote Freight &amp; Sons</t>
        </is>
      </c>
      <c r="D345" s="9" t="n">
        <v>45918</v>
      </c>
      <c r="E345" s="9" t="n">
        <v>46282</v>
      </c>
      <c r="F345" s="4" t="n">
        <v>500000</v>
      </c>
      <c r="G345" s="9" t="n">
        <v>45974</v>
      </c>
      <c r="H345" s="9" t="n">
        <v>46004</v>
      </c>
      <c r="I345" s="4" t="inlineStr">
        <is>
          <t>Open</t>
        </is>
      </c>
      <c r="J345" s="4" t="inlineStr">
        <is>
          <t>GBP</t>
        </is>
      </c>
      <c r="K345" s="4" t="n">
        <v>20844.96</v>
      </c>
      <c r="L345" s="4" t="n">
        <v>15084.04</v>
      </c>
      <c r="M345" s="4" t="n">
        <v>35929</v>
      </c>
      <c r="N345" s="4" t="inlineStr">
        <is>
          <t>OK</t>
        </is>
      </c>
    </row>
    <row r="346">
      <c r="A346" s="4" t="inlineStr">
        <is>
          <t>CLM-102401</t>
        </is>
      </c>
      <c r="B346" s="4" t="inlineStr">
        <is>
          <t>4822240</t>
        </is>
      </c>
      <c r="C346" s="4" t="inlineStr">
        <is>
          <t>Inglewood Marine Limited</t>
        </is>
      </c>
      <c r="D346" s="9" t="n">
        <v>45877</v>
      </c>
      <c r="E346" s="9" t="n">
        <v>46241</v>
      </c>
      <c r="F346" s="4" t="n">
        <v>100000</v>
      </c>
      <c r="G346" s="9" t="n">
        <v>45965</v>
      </c>
      <c r="H346" s="9" t="n">
        <v>45982</v>
      </c>
      <c r="I346" s="4" t="inlineStr">
        <is>
          <t>Open</t>
        </is>
      </c>
      <c r="J346" s="4" t="inlineStr">
        <is>
          <t>GBP</t>
        </is>
      </c>
      <c r="K346" s="4" t="n">
        <v>19518.3</v>
      </c>
      <c r="L346" s="4" t="n">
        <v>44585.42</v>
      </c>
      <c r="M346" s="4" t="n">
        <v>64103.72</v>
      </c>
      <c r="N346" s="4" t="inlineStr">
        <is>
          <t>OK</t>
        </is>
      </c>
    </row>
    <row r="347">
      <c r="A347" s="4" t="inlineStr">
        <is>
          <t>CLM-102408</t>
        </is>
      </c>
      <c r="B347" s="4" t="inlineStr">
        <is>
          <t>4227658</t>
        </is>
      </c>
      <c r="C347" s="4" t="inlineStr">
        <is>
          <t>Larkspur Joinery LLP</t>
        </is>
      </c>
      <c r="D347" s="9" t="n">
        <v>46010</v>
      </c>
      <c r="E347" s="9" t="n">
        <v>46374</v>
      </c>
      <c r="F347" s="4" t="n">
        <v>500000</v>
      </c>
      <c r="G347" s="9" t="n">
        <v>46256</v>
      </c>
      <c r="H347" s="9" t="n">
        <v>46290</v>
      </c>
      <c r="I347" s="4" t="inlineStr">
        <is>
          <t>Open</t>
        </is>
      </c>
      <c r="J347" s="4" t="inlineStr">
        <is>
          <t>GBP</t>
        </is>
      </c>
      <c r="K347" s="4" t="n">
        <v>28802.91</v>
      </c>
      <c r="L347" s="4" t="n">
        <v>71798.94</v>
      </c>
      <c r="M347" s="4" t="n">
        <v>100601.85</v>
      </c>
      <c r="N347" s="4" t="inlineStr">
        <is>
          <t>OK</t>
        </is>
      </c>
    </row>
    <row r="348">
      <c r="A348" s="4" t="inlineStr">
        <is>
          <t>CLM-102415</t>
        </is>
      </c>
      <c r="B348" s="4" t="inlineStr">
        <is>
          <t>4706262</t>
        </is>
      </c>
      <c r="C348" s="4" t="inlineStr">
        <is>
          <t>Inglewood Bakery Group</t>
        </is>
      </c>
      <c r="D348" s="9" t="n">
        <v>45690</v>
      </c>
      <c r="E348" s="9" t="n">
        <v>46054</v>
      </c>
      <c r="F348" s="4" t="n">
        <v>250000</v>
      </c>
      <c r="G348" s="9" t="n">
        <v>45734</v>
      </c>
      <c r="H348" s="9" t="n">
        <v>45767</v>
      </c>
      <c r="I348" s="4" t="inlineStr">
        <is>
          <t>Open</t>
        </is>
      </c>
      <c r="J348" s="4" t="inlineStr">
        <is>
          <t>GBP</t>
        </is>
      </c>
      <c r="K348" s="4" t="n">
        <v>27211.29</v>
      </c>
      <c r="L348" s="4" t="n">
        <v>25633.74</v>
      </c>
      <c r="M348" s="4" t="n">
        <v>52845.03</v>
      </c>
      <c r="N348" s="4" t="inlineStr">
        <is>
          <t>OK</t>
        </is>
      </c>
    </row>
    <row r="349">
      <c r="A349" s="4" t="inlineStr">
        <is>
          <t>CLM-102422</t>
        </is>
      </c>
      <c r="B349" s="4" t="inlineStr">
        <is>
          <t>4641300</t>
        </is>
      </c>
      <c r="C349" s="4" t="inlineStr">
        <is>
          <t>Yarrow Logistics Limited</t>
        </is>
      </c>
      <c r="D349" s="9" t="n">
        <v>45942</v>
      </c>
      <c r="E349" s="9" t="n">
        <v>46306</v>
      </c>
      <c r="F349" s="4" t="n">
        <v>500000</v>
      </c>
      <c r="G349" s="9" t="n">
        <v>46189</v>
      </c>
      <c r="H349" s="9" t="n">
        <v>46209</v>
      </c>
      <c r="I349" s="4" t="inlineStr">
        <is>
          <t>Open</t>
        </is>
      </c>
      <c r="J349" s="4" t="inlineStr">
        <is>
          <t>GBP</t>
        </is>
      </c>
      <c r="K349" s="4" t="n">
        <v>34654.77</v>
      </c>
      <c r="L349" s="4" t="n">
        <v>6814.24</v>
      </c>
      <c r="M349" s="4" t="n">
        <v>41469.01</v>
      </c>
      <c r="N349" s="4" t="inlineStr">
        <is>
          <t>OK</t>
        </is>
      </c>
    </row>
    <row r="350">
      <c r="A350" s="4" t="inlineStr">
        <is>
          <t>CLM-102429</t>
        </is>
      </c>
      <c r="B350" s="4" t="inlineStr">
        <is>
          <t>4145835</t>
        </is>
      </c>
      <c r="C350" s="4" t="inlineStr">
        <is>
          <t>Ellery Textiles plc</t>
        </is>
      </c>
      <c r="D350" s="9" t="n">
        <v>45974</v>
      </c>
      <c r="E350" s="9" t="n">
        <v>46338</v>
      </c>
      <c r="F350" s="4" t="n">
        <v>500000</v>
      </c>
      <c r="G350" s="9" t="n">
        <v>46062</v>
      </c>
      <c r="H350" s="9" t="n">
        <v>46097</v>
      </c>
      <c r="I350" s="4" t="inlineStr">
        <is>
          <t>Open</t>
        </is>
      </c>
      <c r="J350" s="4" t="inlineStr">
        <is>
          <t>EUR</t>
        </is>
      </c>
      <c r="K350" s="4" t="n">
        <v>57201.09</v>
      </c>
      <c r="L350" s="4" t="n">
        <v>65847.61</v>
      </c>
      <c r="M350" s="4" t="n">
        <v>123048.7</v>
      </c>
      <c r="N350" s="4" t="inlineStr">
        <is>
          <t>OK</t>
        </is>
      </c>
    </row>
    <row r="351">
      <c r="A351" s="4" t="inlineStr">
        <is>
          <t>CLM-102436</t>
        </is>
      </c>
      <c r="B351" s="4" t="inlineStr">
        <is>
          <t>4212315</t>
        </is>
      </c>
      <c r="C351" s="4" t="inlineStr">
        <is>
          <t>Merrow Print Group</t>
        </is>
      </c>
      <c r="D351" s="9" t="n">
        <v>45774</v>
      </c>
      <c r="E351" s="9" t="n">
        <v>46138</v>
      </c>
      <c r="F351" s="4" t="n">
        <v>100000</v>
      </c>
      <c r="G351" s="9" t="n">
        <v>46038</v>
      </c>
      <c r="H351" s="9" t="n">
        <v>46076</v>
      </c>
      <c r="I351" s="4" t="inlineStr">
        <is>
          <t>Open</t>
        </is>
      </c>
      <c r="J351" s="4" t="inlineStr">
        <is>
          <t>USD</t>
        </is>
      </c>
      <c r="K351" s="4" t="n">
        <v>21802.07</v>
      </c>
      <c r="L351" s="4" t="n">
        <v>32870.06</v>
      </c>
      <c r="M351" s="4" t="n">
        <v>54672.13</v>
      </c>
      <c r="N351" s="4" t="inlineStr">
        <is>
          <t>OK</t>
        </is>
      </c>
    </row>
    <row r="352">
      <c r="A352" s="4" t="inlineStr">
        <is>
          <t>CLM-102443</t>
        </is>
      </c>
      <c r="B352" s="4" t="inlineStr">
        <is>
          <t>4441290</t>
        </is>
      </c>
      <c r="C352" s="4" t="inlineStr">
        <is>
          <t>Kestrel Electrical Holdings</t>
        </is>
      </c>
      <c r="D352" s="9" t="n">
        <v>45714</v>
      </c>
      <c r="E352" s="9" t="n">
        <v>46078</v>
      </c>
      <c r="F352" s="4" t="n">
        <v>100000</v>
      </c>
      <c r="G352" s="9" t="n">
        <v>45974</v>
      </c>
      <c r="H352" s="9" t="n">
        <v>45993</v>
      </c>
      <c r="I352" s="4" t="inlineStr">
        <is>
          <t>Open</t>
        </is>
      </c>
      <c r="J352" s="4" t="inlineStr">
        <is>
          <t>GBP</t>
        </is>
      </c>
      <c r="K352" s="4" t="n">
        <v>43880.75</v>
      </c>
      <c r="L352" s="4" t="n">
        <v>9063.43</v>
      </c>
      <c r="M352" s="4" t="n">
        <v>52944.18</v>
      </c>
      <c r="N352" s="4" t="inlineStr">
        <is>
          <t>OK</t>
        </is>
      </c>
    </row>
    <row r="353">
      <c r="A353" s="4" t="inlineStr">
        <is>
          <t>CLM-102450</t>
        </is>
      </c>
      <c r="B353" s="4" t="inlineStr">
        <is>
          <t>4317644</t>
        </is>
      </c>
      <c r="C353" s="4" t="inlineStr">
        <is>
          <t>Hollis Motors Group</t>
        </is>
      </c>
      <c r="D353" s="9" t="n">
        <v>45802</v>
      </c>
      <c r="E353" s="9" t="n">
        <v>46166</v>
      </c>
      <c r="F353" s="4" t="n">
        <v>500000</v>
      </c>
      <c r="G353" s="9" t="n">
        <v>45848</v>
      </c>
      <c r="H353" s="9" t="n">
        <v>45856</v>
      </c>
      <c r="I353" s="4" t="inlineStr">
        <is>
          <t>Open</t>
        </is>
      </c>
      <c r="J353" s="4" t="inlineStr">
        <is>
          <t>GBP</t>
        </is>
      </c>
      <c r="K353" s="4" t="n">
        <v>16080.67</v>
      </c>
      <c r="L353" s="4" t="n">
        <v>21487.36</v>
      </c>
      <c r="M353" s="4" t="n">
        <v>37568.03</v>
      </c>
      <c r="N353" s="4" t="inlineStr">
        <is>
          <t>OK</t>
        </is>
      </c>
    </row>
    <row r="354">
      <c r="A354" s="4" t="inlineStr">
        <is>
          <t>CLM-102457</t>
        </is>
      </c>
      <c r="B354" s="4" t="inlineStr">
        <is>
          <t>4160739</t>
        </is>
      </c>
      <c r="C354" s="4" t="inlineStr">
        <is>
          <t>Selby Haulage LLP</t>
        </is>
      </c>
      <c r="D354" s="9" t="n">
        <v>46014</v>
      </c>
      <c r="E354" s="9" t="n">
        <v>46378</v>
      </c>
      <c r="F354" s="4" t="n">
        <v>500000</v>
      </c>
      <c r="G354" s="9" t="n">
        <v>46285</v>
      </c>
      <c r="H354" s="9" t="n">
        <v>46288</v>
      </c>
      <c r="I354" s="4" t="inlineStr">
        <is>
          <t>Open</t>
        </is>
      </c>
      <c r="J354" s="4" t="inlineStr">
        <is>
          <t>GBP</t>
        </is>
      </c>
      <c r="K354" s="4" t="n">
        <v>52775.65</v>
      </c>
      <c r="L354" s="4" t="n">
        <v>46541.65</v>
      </c>
      <c r="M354" s="4" t="n">
        <v>99317.3</v>
      </c>
      <c r="N354" s="4" t="inlineStr">
        <is>
          <t>OK</t>
        </is>
      </c>
    </row>
    <row r="355">
      <c r="A355" s="4" t="inlineStr">
        <is>
          <t>CLM-102464</t>
        </is>
      </c>
      <c r="B355" s="4" t="inlineStr">
        <is>
          <t>4049495</t>
        </is>
      </c>
      <c r="C355" s="4" t="inlineStr">
        <is>
          <t>Westbury Garages Group</t>
        </is>
      </c>
      <c r="D355" s="9" t="n">
        <v>45667</v>
      </c>
      <c r="E355" s="9" t="n">
        <v>46031</v>
      </c>
      <c r="F355" s="4" t="n">
        <v>500000</v>
      </c>
      <c r="G355" s="9" t="n">
        <v>45746</v>
      </c>
      <c r="H355" s="9" t="n">
        <v>45754</v>
      </c>
      <c r="I355" s="4" t="inlineStr">
        <is>
          <t>Open</t>
        </is>
      </c>
      <c r="J355" s="4" t="inlineStr">
        <is>
          <t>EUR</t>
        </is>
      </c>
      <c r="K355" s="4" t="n">
        <v>23437.44</v>
      </c>
      <c r="L355" s="4" t="n">
        <v>13584.23</v>
      </c>
      <c r="M355" s="4" t="n">
        <v>37021.67</v>
      </c>
      <c r="N355" s="4" t="inlineStr">
        <is>
          <t>OK</t>
        </is>
      </c>
    </row>
    <row r="356">
      <c r="A356" s="4" t="inlineStr">
        <is>
          <t>CLM-102471</t>
        </is>
      </c>
      <c r="B356" s="4" t="inlineStr">
        <is>
          <t>4270633</t>
        </is>
      </c>
      <c r="C356" s="4" t="inlineStr">
        <is>
          <t>Merrow Marine Limited</t>
        </is>
      </c>
      <c r="D356" s="9" t="n">
        <v>45818</v>
      </c>
      <c r="E356" s="9" t="n">
        <v>46182</v>
      </c>
      <c r="F356" s="4" t="n">
        <v>250000</v>
      </c>
      <c r="G356" s="9" t="n">
        <v>45835</v>
      </c>
      <c r="H356" s="9" t="n">
        <v>45839</v>
      </c>
      <c r="I356" s="4" t="inlineStr">
        <is>
          <t>Closed</t>
        </is>
      </c>
      <c r="J356" s="4" t="inlineStr">
        <is>
          <t>USD</t>
        </is>
      </c>
      <c r="K356" s="4" t="n">
        <v>5622.16</v>
      </c>
      <c r="L356" s="4" t="n">
        <v>0</v>
      </c>
      <c r="M356" s="4" t="n">
        <v>5622.16</v>
      </c>
      <c r="N356" s="4" t="inlineStr">
        <is>
          <t>OK</t>
        </is>
      </c>
    </row>
    <row r="357">
      <c r="A357" s="4" t="inlineStr">
        <is>
          <t>CLM-102478</t>
        </is>
      </c>
      <c r="B357" s="4" t="inlineStr">
        <is>
          <t>4681361</t>
        </is>
      </c>
      <c r="C357" s="4" t="inlineStr">
        <is>
          <t>Pembroke Bakery &amp; Sons</t>
        </is>
      </c>
      <c r="D357" s="9" t="n">
        <v>45748</v>
      </c>
      <c r="E357" s="9" t="n">
        <v>46112</v>
      </c>
      <c r="F357" s="4" t="n">
        <v>1000000</v>
      </c>
      <c r="G357" s="9" t="n">
        <v>45953</v>
      </c>
      <c r="H357" s="9" t="n">
        <v>45968</v>
      </c>
      <c r="I357" s="4" t="inlineStr">
        <is>
          <t>Open</t>
        </is>
      </c>
      <c r="J357" s="4" t="inlineStr">
        <is>
          <t>EUR</t>
        </is>
      </c>
      <c r="K357" s="4" t="n">
        <v>59935.07</v>
      </c>
      <c r="L357" s="4" t="n">
        <v>10945.76</v>
      </c>
      <c r="M357" s="4" t="n">
        <v>70880.83</v>
      </c>
      <c r="N357" s="4" t="inlineStr">
        <is>
          <t>OK</t>
        </is>
      </c>
    </row>
    <row r="358">
      <c r="A358" s="4" t="inlineStr">
        <is>
          <t>CLM-102485</t>
        </is>
      </c>
      <c r="B358" s="4" t="inlineStr">
        <is>
          <t>4697067</t>
        </is>
      </c>
      <c r="C358" s="4" t="inlineStr">
        <is>
          <t>Hollis Electrical Holdings</t>
        </is>
      </c>
      <c r="D358" s="9" t="n">
        <v>45740</v>
      </c>
      <c r="E358" s="9" t="n">
        <v>46104</v>
      </c>
      <c r="F358" s="4" t="n">
        <v>100000</v>
      </c>
      <c r="G358" s="9" t="n">
        <v>45753</v>
      </c>
      <c r="H358" s="9" t="n">
        <v>45786</v>
      </c>
      <c r="I358" s="4" t="inlineStr">
        <is>
          <t>Open</t>
        </is>
      </c>
      <c r="J358" s="4" t="inlineStr">
        <is>
          <t>EUR</t>
        </is>
      </c>
      <c r="K358" s="4" t="n">
        <v>24457.05</v>
      </c>
      <c r="L358" s="4" t="n">
        <v>17055.18</v>
      </c>
      <c r="M358" s="4" t="n">
        <v>41512.23</v>
      </c>
      <c r="N358" s="4" t="inlineStr">
        <is>
          <t>OK</t>
        </is>
      </c>
    </row>
    <row r="359">
      <c r="A359" s="4" t="inlineStr">
        <is>
          <t>CLM-102492</t>
        </is>
      </c>
      <c r="B359" s="4" t="inlineStr">
        <is>
          <t>4202429</t>
        </is>
      </c>
      <c r="C359" s="4" t="inlineStr">
        <is>
          <t>Kilbride Pharmacy Group</t>
        </is>
      </c>
      <c r="D359" s="9" t="n">
        <v>45939</v>
      </c>
      <c r="E359" s="9" t="n">
        <v>46303</v>
      </c>
      <c r="F359" s="4" t="n">
        <v>500000</v>
      </c>
      <c r="G359" s="9" t="n">
        <v>45962</v>
      </c>
      <c r="H359" s="9" t="n">
        <v>45999</v>
      </c>
      <c r="I359" s="4" t="inlineStr">
        <is>
          <t>Open</t>
        </is>
      </c>
      <c r="J359" s="4" t="inlineStr">
        <is>
          <t>USD</t>
        </is>
      </c>
      <c r="K359" s="4" t="n">
        <v>28806.43</v>
      </c>
      <c r="L359" s="4" t="n">
        <v>8495.379999999999</v>
      </c>
      <c r="M359" s="4" t="n">
        <v>37301.81</v>
      </c>
      <c r="N359" s="4" t="inlineStr">
        <is>
          <t>OK</t>
        </is>
      </c>
    </row>
    <row r="360">
      <c r="A360" s="4" t="inlineStr">
        <is>
          <t>CLM-102499</t>
        </is>
      </c>
      <c r="B360" s="4" t="inlineStr">
        <is>
          <t>4267166</t>
        </is>
      </c>
      <c r="C360" s="4" t="inlineStr">
        <is>
          <t>Ballina Florists Holdings</t>
        </is>
      </c>
      <c r="D360" s="9" t="n">
        <v>45985</v>
      </c>
      <c r="E360" s="9" t="n">
        <v>46349</v>
      </c>
      <c r="F360" s="4" t="n">
        <v>250000</v>
      </c>
      <c r="G360" s="9" t="n">
        <v>46021</v>
      </c>
      <c r="H360" s="9" t="n">
        <v>46037</v>
      </c>
      <c r="I360" s="4" t="inlineStr">
        <is>
          <t>Open</t>
        </is>
      </c>
      <c r="J360" s="4" t="inlineStr">
        <is>
          <t>GBP</t>
        </is>
      </c>
      <c r="K360" s="4" t="n">
        <v>50025.32</v>
      </c>
      <c r="L360" s="4" t="n">
        <v>68909.78999999999</v>
      </c>
      <c r="M360" s="4" t="n">
        <v>118935.11</v>
      </c>
      <c r="N360" s="4" t="inlineStr">
        <is>
          <t>OK</t>
        </is>
      </c>
    </row>
    <row r="361">
      <c r="A361" s="4" t="inlineStr">
        <is>
          <t>CLM-102506</t>
        </is>
      </c>
      <c r="B361" s="4" t="inlineStr">
        <is>
          <t>4177208</t>
        </is>
      </c>
      <c r="C361" s="4" t="inlineStr">
        <is>
          <t>Ashby Garages &amp; Sons</t>
        </is>
      </c>
      <c r="D361" s="9" t="n">
        <v>45993</v>
      </c>
      <c r="E361" s="9" t="n">
        <v>46357</v>
      </c>
      <c r="F361" s="4" t="n">
        <v>1000000</v>
      </c>
      <c r="G361" s="9" t="n">
        <v>46029</v>
      </c>
      <c r="H361" s="9" t="n">
        <v>46037</v>
      </c>
      <c r="I361" s="4" t="inlineStr">
        <is>
          <t>Open</t>
        </is>
      </c>
      <c r="J361" s="4" t="inlineStr">
        <is>
          <t>USD</t>
        </is>
      </c>
      <c r="K361" s="4" t="n">
        <v>24623.38</v>
      </c>
      <c r="L361" s="4" t="n">
        <v>16726.07</v>
      </c>
      <c r="M361" s="4" t="n">
        <v>41349.45</v>
      </c>
      <c r="N361" s="4" t="inlineStr">
        <is>
          <t>OK</t>
        </is>
      </c>
    </row>
    <row r="362">
      <c r="A362" s="4" t="inlineStr">
        <is>
          <t>CLM-102513</t>
        </is>
      </c>
      <c r="B362" s="4" t="inlineStr">
        <is>
          <t>4784286</t>
        </is>
      </c>
      <c r="C362" s="4" t="inlineStr">
        <is>
          <t>Quarry Bakery Group</t>
        </is>
      </c>
      <c r="D362" s="9" t="n">
        <v>45873</v>
      </c>
      <c r="E362" s="9" t="n">
        <v>46237</v>
      </c>
      <c r="F362" s="4" t="n">
        <v>500000</v>
      </c>
      <c r="G362" s="9" t="n">
        <v>46165</v>
      </c>
      <c r="H362" s="9" t="n">
        <v>46171</v>
      </c>
      <c r="I362" s="4" t="inlineStr">
        <is>
          <t>Open</t>
        </is>
      </c>
      <c r="J362" s="4" t="inlineStr">
        <is>
          <t>EUR</t>
        </is>
      </c>
      <c r="K362" s="4" t="n">
        <v>24482.95</v>
      </c>
      <c r="L362" s="4" t="n">
        <v>58486.99</v>
      </c>
      <c r="M362" s="4" t="n">
        <v>82969.94</v>
      </c>
      <c r="N362" s="4" t="inlineStr">
        <is>
          <t>OK</t>
        </is>
      </c>
    </row>
    <row r="363">
      <c r="A363" s="4" t="inlineStr">
        <is>
          <t>CLM-102520</t>
        </is>
      </c>
      <c r="B363" s="4" t="inlineStr">
        <is>
          <t>4165551</t>
        </is>
      </c>
      <c r="C363" s="4" t="inlineStr">
        <is>
          <t>Oakham Farms Limited</t>
        </is>
      </c>
      <c r="D363" s="9" t="n">
        <v>45926</v>
      </c>
      <c r="E363" s="9" t="n">
        <v>46290</v>
      </c>
      <c r="F363" s="4" t="n">
        <v>250000</v>
      </c>
      <c r="G363" s="9" t="n">
        <v>45982</v>
      </c>
      <c r="H363" s="9" t="n">
        <v>45994</v>
      </c>
      <c r="I363" s="4" t="inlineStr">
        <is>
          <t>Closed</t>
        </is>
      </c>
      <c r="J363" s="4" t="inlineStr">
        <is>
          <t>GBP</t>
        </is>
      </c>
      <c r="K363" s="4" t="n">
        <v>18428</v>
      </c>
      <c r="L363" s="4" t="n">
        <v>0</v>
      </c>
      <c r="M363" s="4" t="n">
        <v>18428</v>
      </c>
      <c r="N363" s="4" t="inlineStr">
        <is>
          <t>OK</t>
        </is>
      </c>
    </row>
    <row r="364">
      <c r="A364" s="4" t="inlineStr">
        <is>
          <t>CLM-102527</t>
        </is>
      </c>
      <c r="B364" s="4" t="inlineStr">
        <is>
          <t>4533345</t>
        </is>
      </c>
      <c r="C364" s="4" t="inlineStr">
        <is>
          <t>Brennan Farms Group</t>
        </is>
      </c>
      <c r="D364" s="9" t="n">
        <v>45689</v>
      </c>
      <c r="E364" s="9" t="n">
        <v>46053</v>
      </c>
      <c r="F364" s="4" t="n">
        <v>250000</v>
      </c>
      <c r="G364" s="9" t="n">
        <v>45855</v>
      </c>
      <c r="H364" s="9" t="n">
        <v>45882</v>
      </c>
      <c r="I364" s="4" t="inlineStr">
        <is>
          <t>Open</t>
        </is>
      </c>
      <c r="J364" s="4" t="inlineStr">
        <is>
          <t>GBP</t>
        </is>
      </c>
      <c r="K364" s="4" t="n">
        <v>6667.74</v>
      </c>
      <c r="L364" s="4" t="n">
        <v>54440.46</v>
      </c>
      <c r="M364" s="4" t="n">
        <v>61108.2</v>
      </c>
      <c r="N364" s="4" t="inlineStr">
        <is>
          <t>OK</t>
        </is>
      </c>
    </row>
    <row r="365">
      <c r="A365" s="4" t="inlineStr">
        <is>
          <t>CLM-102534</t>
        </is>
      </c>
      <c r="B365" s="4" t="inlineStr">
        <is>
          <t>4162231</t>
        </is>
      </c>
      <c r="C365" s="4" t="inlineStr">
        <is>
          <t>Dunmore Bakery &amp; Sons</t>
        </is>
      </c>
      <c r="D365" s="9" t="n">
        <v>45813</v>
      </c>
      <c r="E365" s="9" t="n">
        <v>46177</v>
      </c>
      <c r="F365" s="4" t="n">
        <v>100000</v>
      </c>
      <c r="G365" s="9" t="n">
        <v>46026</v>
      </c>
      <c r="H365" s="9" t="n">
        <v>46047</v>
      </c>
      <c r="I365" s="4" t="inlineStr">
        <is>
          <t>Open</t>
        </is>
      </c>
      <c r="J365" s="4" t="inlineStr">
        <is>
          <t>USD</t>
        </is>
      </c>
      <c r="K365" s="4" t="n">
        <v>26578.66</v>
      </c>
      <c r="L365" s="4" t="n">
        <v>35284.44</v>
      </c>
      <c r="M365" s="4" t="n">
        <v>61863.1</v>
      </c>
      <c r="N365" s="4" t="inlineStr">
        <is>
          <t>OK</t>
        </is>
      </c>
    </row>
    <row r="366">
      <c r="A366" s="4" t="inlineStr">
        <is>
          <t>CLM-102541</t>
        </is>
      </c>
      <c r="B366" s="4" t="inlineStr">
        <is>
          <t>4869265</t>
        </is>
      </c>
      <c r="C366" s="4" t="inlineStr">
        <is>
          <t>Merrow Builders plc</t>
        </is>
      </c>
      <c r="D366" s="9" t="n">
        <v>45978</v>
      </c>
      <c r="E366" s="9" t="n">
        <v>46342</v>
      </c>
      <c r="F366" s="4" t="n">
        <v>500000</v>
      </c>
      <c r="G366" s="9" t="n">
        <v>46069</v>
      </c>
      <c r="H366" s="9" t="n">
        <v>46085</v>
      </c>
      <c r="I366" s="4" t="inlineStr">
        <is>
          <t>Open</t>
        </is>
      </c>
      <c r="J366" s="4" t="inlineStr">
        <is>
          <t>EUR</t>
        </is>
      </c>
      <c r="K366" s="4" t="n">
        <v>12195.39</v>
      </c>
      <c r="L366" s="4" t="n">
        <v>28475.26</v>
      </c>
      <c r="M366" s="4" t="n">
        <v>40670.65</v>
      </c>
      <c r="N366" s="4" t="inlineStr">
        <is>
          <t>OK</t>
        </is>
      </c>
    </row>
    <row r="367">
      <c r="A367" s="4" t="inlineStr">
        <is>
          <t>CLM-102548</t>
        </is>
      </c>
      <c r="B367" s="4" t="inlineStr">
        <is>
          <t>4071071</t>
        </is>
      </c>
      <c r="C367" s="4" t="inlineStr">
        <is>
          <t>Rathmore Builders plc</t>
        </is>
      </c>
      <c r="D367" s="9" t="n">
        <v>45994</v>
      </c>
      <c r="E367" s="9" t="n">
        <v>46358</v>
      </c>
      <c r="F367" s="4" t="n">
        <v>100000</v>
      </c>
      <c r="G367" s="9" t="n">
        <v>46031</v>
      </c>
      <c r="H367" s="9" t="n">
        <v>46047</v>
      </c>
      <c r="I367" s="4" t="inlineStr">
        <is>
          <t>Open</t>
        </is>
      </c>
      <c r="J367" s="4" t="inlineStr">
        <is>
          <t>GBP</t>
        </is>
      </c>
      <c r="K367" s="4" t="n">
        <v>422.39</v>
      </c>
      <c r="L367" s="4" t="n">
        <v>5175.59</v>
      </c>
      <c r="M367" s="4" t="n">
        <v>5597.98</v>
      </c>
      <c r="N367" s="4" t="inlineStr">
        <is>
          <t>OK</t>
        </is>
      </c>
    </row>
    <row r="368">
      <c r="A368" s="4" t="inlineStr">
        <is>
          <t>CLM-102555</t>
        </is>
      </c>
      <c r="B368" s="4" t="inlineStr">
        <is>
          <t>4804152</t>
        </is>
      </c>
      <c r="C368" s="4" t="inlineStr">
        <is>
          <t>Hollis Engineering Limited</t>
        </is>
      </c>
      <c r="D368" s="9" t="n">
        <v>45784</v>
      </c>
      <c r="E368" s="9" t="n">
        <v>46148</v>
      </c>
      <c r="F368" s="4" t="n">
        <v>1000000</v>
      </c>
      <c r="G368" s="9" t="n">
        <v>46005</v>
      </c>
      <c r="H368" s="9" t="n">
        <v>46040</v>
      </c>
      <c r="I368" s="4" t="inlineStr">
        <is>
          <t>Open</t>
        </is>
      </c>
      <c r="J368" s="4" t="inlineStr">
        <is>
          <t>GBP</t>
        </is>
      </c>
      <c r="K368" s="4" t="n">
        <v>16925.08</v>
      </c>
      <c r="L368" s="4" t="n">
        <v>56843.01</v>
      </c>
      <c r="M368" s="4" t="n">
        <v>73768.09</v>
      </c>
      <c r="N368" s="4" t="inlineStr">
        <is>
          <t>OK</t>
        </is>
      </c>
    </row>
    <row r="369">
      <c r="A369" s="4" t="inlineStr">
        <is>
          <t>CLM-102562</t>
        </is>
      </c>
      <c r="B369" s="4" t="inlineStr">
        <is>
          <t>4827049</t>
        </is>
      </c>
      <c r="C369" s="4" t="inlineStr">
        <is>
          <t>Rathmore Electrical Ltd</t>
        </is>
      </c>
      <c r="D369" s="9" t="n">
        <v>46006</v>
      </c>
      <c r="E369" s="9" t="n">
        <v>46370</v>
      </c>
      <c r="F369" s="4" t="n">
        <v>250000</v>
      </c>
      <c r="G369" s="9" t="n">
        <v>46246</v>
      </c>
      <c r="H369" s="9" t="n">
        <v>46251</v>
      </c>
      <c r="I369" s="4" t="inlineStr">
        <is>
          <t>Open</t>
        </is>
      </c>
      <c r="J369" s="4" t="inlineStr">
        <is>
          <t>GBP</t>
        </is>
      </c>
      <c r="K369" s="4" t="n">
        <v>11979.88</v>
      </c>
      <c r="L369" s="4" t="n">
        <v>25608.4</v>
      </c>
      <c r="M369" s="4" t="n">
        <v>37588.28</v>
      </c>
      <c r="N369" s="4" t="inlineStr">
        <is>
          <t>OK</t>
        </is>
      </c>
    </row>
    <row r="370">
      <c r="A370" s="4" t="inlineStr">
        <is>
          <t>CLM-102569</t>
        </is>
      </c>
      <c r="B370" s="4" t="inlineStr">
        <is>
          <t>4628412</t>
        </is>
      </c>
      <c r="C370" s="4" t="inlineStr">
        <is>
          <t>Pembroke Florists Ltd</t>
        </is>
      </c>
      <c r="D370" s="9" t="n">
        <v>45904</v>
      </c>
      <c r="E370" s="9" t="n">
        <v>46268</v>
      </c>
      <c r="F370" s="4" t="n">
        <v>100000</v>
      </c>
      <c r="G370" s="9" t="n">
        <v>46138</v>
      </c>
      <c r="H370" s="9" t="n">
        <v>46171</v>
      </c>
      <c r="I370" s="4" t="inlineStr">
        <is>
          <t>Open</t>
        </is>
      </c>
      <c r="J370" s="4" t="inlineStr">
        <is>
          <t>GBP</t>
        </is>
      </c>
      <c r="K370" s="4" t="n">
        <v>9366.6</v>
      </c>
      <c r="L370" s="4" t="n">
        <v>32809.12</v>
      </c>
      <c r="M370" s="4" t="n">
        <v>42175.72</v>
      </c>
      <c r="N370" s="4" t="inlineStr">
        <is>
          <t>OK</t>
        </is>
      </c>
    </row>
    <row r="371">
      <c r="A371" s="4" t="inlineStr">
        <is>
          <t>CLM-102576</t>
        </is>
      </c>
      <c r="B371" s="4" t="inlineStr">
        <is>
          <t>4649903</t>
        </is>
      </c>
      <c r="C371" s="4" t="inlineStr">
        <is>
          <t>Vale Marine Limited</t>
        </is>
      </c>
      <c r="D371" s="9" t="n">
        <v>45659</v>
      </c>
      <c r="E371" s="9" t="n">
        <v>46023</v>
      </c>
      <c r="F371" s="4" t="n">
        <v>250000</v>
      </c>
      <c r="G371" s="9" t="n">
        <v>45985</v>
      </c>
      <c r="H371" s="9" t="n">
        <v>46018</v>
      </c>
      <c r="I371" s="4" t="inlineStr">
        <is>
          <t>Open</t>
        </is>
      </c>
      <c r="J371" s="4" t="inlineStr">
        <is>
          <t>GBP</t>
        </is>
      </c>
      <c r="K371" s="4" t="n">
        <v>19824.99</v>
      </c>
      <c r="L371" s="4" t="n">
        <v>28947.55</v>
      </c>
      <c r="M371" s="4" t="n">
        <v>48772.54</v>
      </c>
      <c r="N371" s="4" t="inlineStr">
        <is>
          <t>OK</t>
        </is>
      </c>
    </row>
    <row r="372">
      <c r="A372" s="4" t="inlineStr">
        <is>
          <t>CLM-102583</t>
        </is>
      </c>
      <c r="B372" s="4" t="inlineStr">
        <is>
          <t>4654449</t>
        </is>
      </c>
      <c r="C372" s="4" t="inlineStr">
        <is>
          <t>Vale Garages plc</t>
        </is>
      </c>
      <c r="D372" s="9" t="n">
        <v>45952</v>
      </c>
      <c r="E372" s="9" t="n">
        <v>46316</v>
      </c>
      <c r="F372" s="4" t="n">
        <v>100000</v>
      </c>
      <c r="G372" s="9" t="n">
        <v>46136</v>
      </c>
      <c r="H372" s="9" t="n">
        <v>46158</v>
      </c>
      <c r="I372" s="4" t="inlineStr">
        <is>
          <t>Open</t>
        </is>
      </c>
      <c r="J372" s="4" t="inlineStr">
        <is>
          <t>USD</t>
        </is>
      </c>
      <c r="K372" s="4" t="n">
        <v>1981.67</v>
      </c>
      <c r="L372" s="4" t="n">
        <v>4743.02</v>
      </c>
      <c r="M372" s="4" t="n">
        <v>6724.69</v>
      </c>
      <c r="N372" s="4" t="inlineStr">
        <is>
          <t>OK</t>
        </is>
      </c>
    </row>
    <row r="373">
      <c r="A373" s="4" t="inlineStr">
        <is>
          <t>CLM-102590</t>
        </is>
      </c>
      <c r="B373" s="4" t="inlineStr">
        <is>
          <t>4338762</t>
        </is>
      </c>
      <c r="C373" s="4" t="inlineStr">
        <is>
          <t>Quarry Florists Holdings</t>
        </is>
      </c>
      <c r="D373" s="9" t="n">
        <v>45887</v>
      </c>
      <c r="E373" s="9" t="n">
        <v>46251</v>
      </c>
      <c r="F373" s="4" t="n">
        <v>250000</v>
      </c>
      <c r="G373" s="9" t="n">
        <v>46092</v>
      </c>
      <c r="H373" s="9" t="n">
        <v>46099</v>
      </c>
      <c r="I373" s="4" t="inlineStr">
        <is>
          <t>Open</t>
        </is>
      </c>
      <c r="J373" s="4" t="inlineStr">
        <is>
          <t>GBP</t>
        </is>
      </c>
      <c r="K373" s="4" t="n">
        <v>19742.14</v>
      </c>
      <c r="L373" s="4" t="n">
        <v>4154.05</v>
      </c>
      <c r="M373" s="4" t="n">
        <v>23896.19</v>
      </c>
      <c r="N373" s="4" t="inlineStr">
        <is>
          <t>OK</t>
        </is>
      </c>
    </row>
    <row r="374">
      <c r="A374" s="4" t="inlineStr">
        <is>
          <t>CLM-102597</t>
        </is>
      </c>
      <c r="B374" s="4" t="inlineStr">
        <is>
          <t>4888599</t>
        </is>
      </c>
      <c r="C374" s="4" t="inlineStr">
        <is>
          <t>Yarrow Marine plc</t>
        </is>
      </c>
      <c r="D374" s="9" t="n">
        <v>45989</v>
      </c>
      <c r="E374" s="9" t="n">
        <v>46353</v>
      </c>
      <c r="F374" s="4" t="n">
        <v>250000</v>
      </c>
      <c r="G374" s="9" t="n">
        <v>46285</v>
      </c>
      <c r="H374" s="9" t="n">
        <v>46295</v>
      </c>
      <c r="I374" s="4" t="inlineStr">
        <is>
          <t>Closed</t>
        </is>
      </c>
      <c r="J374" s="4" t="inlineStr">
        <is>
          <t>GBP</t>
        </is>
      </c>
      <c r="K374" s="4" t="n">
        <v>5040.35</v>
      </c>
      <c r="L374" s="4" t="n">
        <v>0</v>
      </c>
      <c r="M374" s="4" t="n">
        <v>5040.35</v>
      </c>
      <c r="N374" s="4" t="inlineStr">
        <is>
          <t>OK</t>
        </is>
      </c>
    </row>
    <row r="375">
      <c r="A375" s="4" t="inlineStr">
        <is>
          <t>CLM-102604</t>
        </is>
      </c>
      <c r="B375" s="4" t="inlineStr">
        <is>
          <t>4293638</t>
        </is>
      </c>
      <c r="C375" s="4" t="inlineStr">
        <is>
          <t>Vale Builders &amp; Sons</t>
        </is>
      </c>
      <c r="D375" s="9" t="n">
        <v>45922</v>
      </c>
      <c r="E375" s="9" t="n">
        <v>46286</v>
      </c>
      <c r="F375" s="4" t="n">
        <v>100000</v>
      </c>
      <c r="G375" s="9" t="n">
        <v>46141</v>
      </c>
      <c r="H375" s="9" t="n">
        <v>46145</v>
      </c>
      <c r="I375" s="4" t="inlineStr">
        <is>
          <t>Closed</t>
        </is>
      </c>
      <c r="J375" s="4" t="inlineStr">
        <is>
          <t>EUR</t>
        </is>
      </c>
      <c r="K375" s="4" t="n">
        <v>18050.11</v>
      </c>
      <c r="L375" s="4" t="n">
        <v>0</v>
      </c>
      <c r="M375" s="4" t="n">
        <v>18050.11</v>
      </c>
      <c r="N375" s="4" t="inlineStr">
        <is>
          <t>OK</t>
        </is>
      </c>
    </row>
    <row r="376">
      <c r="A376" s="4" t="inlineStr">
        <is>
          <t>CLM-102611</t>
        </is>
      </c>
      <c r="B376" s="4" t="inlineStr">
        <is>
          <t>4010921</t>
        </is>
      </c>
      <c r="C376" s="4" t="inlineStr">
        <is>
          <t>Upton Builders plc</t>
        </is>
      </c>
      <c r="D376" s="9" t="n">
        <v>45987</v>
      </c>
      <c r="E376" s="9" t="n">
        <v>46351</v>
      </c>
      <c r="F376" s="4" t="n">
        <v>500000</v>
      </c>
      <c r="G376" s="9" t="n">
        <v>46044</v>
      </c>
      <c r="H376" s="9" t="n">
        <v>46069</v>
      </c>
      <c r="I376" s="4" t="inlineStr">
        <is>
          <t>Closed</t>
        </is>
      </c>
      <c r="J376" s="4" t="inlineStr">
        <is>
          <t>GBP</t>
        </is>
      </c>
      <c r="K376" s="4" t="n">
        <v>3878.08</v>
      </c>
      <c r="L376" s="4" t="n">
        <v>0</v>
      </c>
      <c r="M376" s="4" t="n">
        <v>3878.08</v>
      </c>
      <c r="N376" s="4" t="inlineStr">
        <is>
          <t>OK</t>
        </is>
      </c>
    </row>
    <row r="377">
      <c r="A377" s="4" t="inlineStr">
        <is>
          <t>CLM-102618</t>
        </is>
      </c>
      <c r="B377" s="4" t="inlineStr">
        <is>
          <t>4151203</t>
        </is>
      </c>
      <c r="C377" s="4" t="inlineStr">
        <is>
          <t>Ardmore Haulage LLP</t>
        </is>
      </c>
      <c r="D377" s="9" t="n">
        <v>45784</v>
      </c>
      <c r="E377" s="9" t="n">
        <v>46148</v>
      </c>
      <c r="F377" s="4" t="n">
        <v>100000</v>
      </c>
      <c r="G377" s="9" t="n">
        <v>45896</v>
      </c>
      <c r="H377" s="9" t="n">
        <v>45936</v>
      </c>
      <c r="I377" s="4" t="inlineStr">
        <is>
          <t>Reopened</t>
        </is>
      </c>
      <c r="J377" s="4" t="inlineStr">
        <is>
          <t>EUR</t>
        </is>
      </c>
      <c r="K377" s="4" t="n">
        <v>44227.74</v>
      </c>
      <c r="L377" s="4" t="n">
        <v>30560.22</v>
      </c>
      <c r="M377" s="4" t="n">
        <v>74787.96000000001</v>
      </c>
      <c r="N377" s="4" t="inlineStr">
        <is>
          <t>OK</t>
        </is>
      </c>
    </row>
    <row r="378">
      <c r="A378" s="4" t="inlineStr">
        <is>
          <t>CLM-102625</t>
        </is>
      </c>
      <c r="B378" s="4" t="inlineStr">
        <is>
          <t>4207181</t>
        </is>
      </c>
      <c r="C378" s="4" t="inlineStr">
        <is>
          <t>Larkspur Marine &amp; Sons</t>
        </is>
      </c>
      <c r="D378" s="9" t="n">
        <v>45731</v>
      </c>
      <c r="E378" s="9" t="n">
        <v>46095</v>
      </c>
      <c r="F378" s="4" t="n">
        <v>250000</v>
      </c>
      <c r="G378" s="9" t="n">
        <v>46014</v>
      </c>
      <c r="H378" s="9" t="n">
        <v>46032</v>
      </c>
      <c r="I378" s="4" t="inlineStr">
        <is>
          <t>Closed</t>
        </is>
      </c>
      <c r="J378" s="4" t="inlineStr">
        <is>
          <t>EUR</t>
        </is>
      </c>
      <c r="K378" s="4" t="n">
        <v>55470.12</v>
      </c>
      <c r="L378" s="4" t="n">
        <v>0</v>
      </c>
      <c r="M378" s="4" t="n">
        <v>55470.12</v>
      </c>
      <c r="N378" s="4" t="inlineStr">
        <is>
          <t>OK</t>
        </is>
      </c>
    </row>
    <row r="379">
      <c r="A379" s="4" t="inlineStr">
        <is>
          <t>CLM-102632</t>
        </is>
      </c>
      <c r="B379" s="4" t="inlineStr">
        <is>
          <t>4188922</t>
        </is>
      </c>
      <c r="C379" s="4" t="inlineStr">
        <is>
          <t>Galway Haulage Limited</t>
        </is>
      </c>
      <c r="D379" s="9" t="n">
        <v>45906</v>
      </c>
      <c r="E379" s="9" t="n">
        <v>46270</v>
      </c>
      <c r="F379" s="4" t="n">
        <v>250000</v>
      </c>
      <c r="G379" s="9" t="n">
        <v>46095</v>
      </c>
      <c r="H379" s="9" t="n">
        <v>46108</v>
      </c>
      <c r="I379" s="4" t="inlineStr">
        <is>
          <t>Open</t>
        </is>
      </c>
      <c r="J379" s="4" t="inlineStr">
        <is>
          <t>EUR</t>
        </is>
      </c>
      <c r="K379" s="4" t="n">
        <v>17113.85</v>
      </c>
      <c r="L379" s="4" t="n">
        <v>33698.28</v>
      </c>
      <c r="M379" s="4" t="n">
        <v>50812.13</v>
      </c>
      <c r="N379" s="4" t="inlineStr">
        <is>
          <t>OK</t>
        </is>
      </c>
    </row>
    <row r="380">
      <c r="A380" s="4" t="inlineStr">
        <is>
          <t>CLM-102639</t>
        </is>
      </c>
      <c r="B380" s="4" t="inlineStr">
        <is>
          <t>4251032</t>
        </is>
      </c>
      <c r="C380" s="4" t="inlineStr">
        <is>
          <t>Harbour Florists LLP</t>
        </is>
      </c>
      <c r="D380" s="9" t="n">
        <v>45896</v>
      </c>
      <c r="E380" s="9" t="n">
        <v>46260</v>
      </c>
      <c r="F380" s="4" t="n">
        <v>250000</v>
      </c>
      <c r="G380" s="9" t="n">
        <v>46032</v>
      </c>
      <c r="H380" s="9" t="n">
        <v>46066</v>
      </c>
      <c r="I380" s="4" t="inlineStr">
        <is>
          <t>Closed</t>
        </is>
      </c>
      <c r="J380" s="4" t="inlineStr">
        <is>
          <t>USD</t>
        </is>
      </c>
      <c r="K380" s="4" t="n">
        <v>50389.41</v>
      </c>
      <c r="L380" s="4" t="n">
        <v>0</v>
      </c>
      <c r="M380" s="4" t="n">
        <v>50389.41</v>
      </c>
      <c r="N380" s="4" t="inlineStr">
        <is>
          <t>OK</t>
        </is>
      </c>
    </row>
    <row r="381">
      <c r="A381" s="4" t="inlineStr">
        <is>
          <t>CLM-102646</t>
        </is>
      </c>
      <c r="B381" s="4" t="inlineStr">
        <is>
          <t>4091640</t>
        </is>
      </c>
      <c r="C381" s="4" t="inlineStr">
        <is>
          <t>Pembroke Electrical plc</t>
        </is>
      </c>
      <c r="D381" s="9" t="n">
        <v>45952</v>
      </c>
      <c r="E381" s="9" t="n">
        <v>46316</v>
      </c>
      <c r="F381" s="4" t="n">
        <v>500000</v>
      </c>
      <c r="G381" s="9" t="n">
        <v>46144</v>
      </c>
      <c r="H381" s="9" t="n">
        <v>46151</v>
      </c>
      <c r="I381" s="4" t="inlineStr">
        <is>
          <t>Open</t>
        </is>
      </c>
      <c r="J381" s="4" t="inlineStr">
        <is>
          <t>EUR</t>
        </is>
      </c>
      <c r="K381" s="4" t="n">
        <v>7148.93</v>
      </c>
      <c r="L381" s="4" t="n">
        <v>79427.83</v>
      </c>
      <c r="M381" s="4" t="n">
        <v>86576.75999999999</v>
      </c>
      <c r="N381" s="4" t="inlineStr">
        <is>
          <t>OK</t>
        </is>
      </c>
    </row>
    <row r="382">
      <c r="A382" s="4" t="inlineStr">
        <is>
          <t>CLM-102653</t>
        </is>
      </c>
      <c r="B382" s="4" t="inlineStr">
        <is>
          <t>4468193</t>
        </is>
      </c>
      <c r="C382" s="4" t="inlineStr">
        <is>
          <t>Yarrow Logistics Limited</t>
        </is>
      </c>
      <c r="D382" s="9" t="n">
        <v>45739</v>
      </c>
      <c r="E382" s="9" t="n">
        <v>46103</v>
      </c>
      <c r="F382" s="4" t="n">
        <v>100000</v>
      </c>
      <c r="G382" s="9" t="n">
        <v>46042</v>
      </c>
      <c r="H382" s="9" t="n">
        <v>46064</v>
      </c>
      <c r="I382" s="4" t="inlineStr">
        <is>
          <t>Open</t>
        </is>
      </c>
      <c r="J382" s="4" t="inlineStr">
        <is>
          <t>GBP</t>
        </is>
      </c>
      <c r="K382" s="4" t="n">
        <v>8455.190000000001</v>
      </c>
      <c r="L382" s="4" t="n">
        <v>41317.81</v>
      </c>
      <c r="M382" s="4" t="n">
        <v>49773</v>
      </c>
      <c r="N382" s="4" t="inlineStr">
        <is>
          <t>OK</t>
        </is>
      </c>
    </row>
    <row r="383">
      <c r="A383" s="4" t="inlineStr">
        <is>
          <t>CLM-102660</t>
        </is>
      </c>
      <c r="B383" s="4" t="inlineStr">
        <is>
          <t>4789087</t>
        </is>
      </c>
      <c r="C383" s="4" t="inlineStr">
        <is>
          <t>Kestrel Freight Ltd</t>
        </is>
      </c>
      <c r="D383" s="9" t="n">
        <v>45978</v>
      </c>
      <c r="E383" s="9" t="n">
        <v>46342</v>
      </c>
      <c r="F383" s="4" t="n">
        <v>100000</v>
      </c>
      <c r="G383" s="9" t="n">
        <v>46114</v>
      </c>
      <c r="H383" s="9" t="n">
        <v>46152</v>
      </c>
      <c r="I383" s="4" t="inlineStr">
        <is>
          <t>Open</t>
        </is>
      </c>
      <c r="J383" s="4" t="inlineStr">
        <is>
          <t>EUR</t>
        </is>
      </c>
      <c r="K383" s="4" t="n">
        <v>2516.42</v>
      </c>
      <c r="L383" s="4" t="n">
        <v>30206.04</v>
      </c>
      <c r="M383" s="4" t="n">
        <v>32722.46</v>
      </c>
      <c r="N383" s="4" t="inlineStr">
        <is>
          <t>OK</t>
        </is>
      </c>
    </row>
    <row r="384">
      <c r="A384" s="4" t="inlineStr">
        <is>
          <t>CLM-102667</t>
        </is>
      </c>
      <c r="B384" s="4" t="inlineStr">
        <is>
          <t>4544091</t>
        </is>
      </c>
      <c r="C384" s="4" t="inlineStr">
        <is>
          <t>Inglewood Haulage &amp; Sons</t>
        </is>
      </c>
      <c r="D384" s="9" t="n">
        <v>45996</v>
      </c>
      <c r="E384" s="9" t="n">
        <v>46360</v>
      </c>
      <c r="F384" s="4" t="n">
        <v>100000</v>
      </c>
      <c r="G384" s="9" t="n">
        <v>46096</v>
      </c>
      <c r="H384" s="9" t="n">
        <v>46120</v>
      </c>
      <c r="I384" s="4" t="inlineStr">
        <is>
          <t>Open</t>
        </is>
      </c>
      <c r="J384" s="4" t="inlineStr">
        <is>
          <t>GBP</t>
        </is>
      </c>
      <c r="K384" s="4" t="n">
        <v>4837.73</v>
      </c>
      <c r="L384" s="4" t="n">
        <v>28214.32</v>
      </c>
      <c r="M384" s="4" t="n">
        <v>33052.05</v>
      </c>
      <c r="N384" s="4" t="inlineStr">
        <is>
          <t>OK</t>
        </is>
      </c>
    </row>
    <row r="385">
      <c r="A385" s="4" t="inlineStr">
        <is>
          <t>CLM-102674</t>
        </is>
      </c>
      <c r="B385" s="4" t="inlineStr">
        <is>
          <t>4191629</t>
        </is>
      </c>
      <c r="C385" s="4" t="inlineStr">
        <is>
          <t>Pembroke Florists plc</t>
        </is>
      </c>
      <c r="D385" s="9" t="n">
        <v>45835</v>
      </c>
      <c r="E385" s="9" t="n">
        <v>46199</v>
      </c>
      <c r="F385" s="4" t="n">
        <v>250000</v>
      </c>
      <c r="G385" s="9" t="n">
        <v>45958</v>
      </c>
      <c r="H385" s="9" t="n">
        <v>45965</v>
      </c>
      <c r="I385" s="4" t="inlineStr">
        <is>
          <t>Closed</t>
        </is>
      </c>
      <c r="J385" s="4" t="inlineStr">
        <is>
          <t>GBP</t>
        </is>
      </c>
      <c r="K385" s="4" t="n">
        <v>30915.23</v>
      </c>
      <c r="L385" s="4" t="n">
        <v>0</v>
      </c>
      <c r="M385" s="4" t="n">
        <v>30915.23</v>
      </c>
      <c r="N385" s="4" t="inlineStr">
        <is>
          <t>OK</t>
        </is>
      </c>
    </row>
    <row r="386">
      <c r="A386" s="4" t="inlineStr">
        <is>
          <t>CLM-102681</t>
        </is>
      </c>
      <c r="B386" s="4" t="inlineStr">
        <is>
          <t>4337265</t>
        </is>
      </c>
      <c r="C386" s="4" t="inlineStr">
        <is>
          <t>Larkspur Engineering plc</t>
        </is>
      </c>
      <c r="D386" s="9" t="n">
        <v>45833</v>
      </c>
      <c r="E386" s="9" t="n">
        <v>46197</v>
      </c>
      <c r="F386" s="4" t="n">
        <v>100000</v>
      </c>
      <c r="G386" s="9" t="n">
        <v>45878</v>
      </c>
      <c r="H386" s="9" t="n">
        <v>45906</v>
      </c>
      <c r="I386" s="4" t="inlineStr">
        <is>
          <t>Open</t>
        </is>
      </c>
      <c r="J386" s="4" t="inlineStr">
        <is>
          <t>GBP</t>
        </is>
      </c>
      <c r="K386" s="4" t="n">
        <v>18561.53</v>
      </c>
      <c r="L386" s="4" t="n">
        <v>12369.63</v>
      </c>
      <c r="M386" s="4" t="n">
        <v>30931.16</v>
      </c>
      <c r="N386" s="4" t="inlineStr">
        <is>
          <t>OK</t>
        </is>
      </c>
    </row>
    <row r="387">
      <c r="A387" s="4" t="inlineStr">
        <is>
          <t>CLM-102688</t>
        </is>
      </c>
      <c r="B387" s="4" t="inlineStr">
        <is>
          <t>4278235</t>
        </is>
      </c>
      <c r="C387" s="4" t="inlineStr">
        <is>
          <t>Ellery Logistics plc</t>
        </is>
      </c>
      <c r="D387" s="9" t="n">
        <v>45661</v>
      </c>
      <c r="E387" s="9" t="n">
        <v>46025</v>
      </c>
      <c r="F387" s="4" t="n">
        <v>250000</v>
      </c>
      <c r="G387" s="9" t="n">
        <v>45866</v>
      </c>
      <c r="H387" s="9" t="n">
        <v>45905</v>
      </c>
      <c r="I387" s="4" t="inlineStr">
        <is>
          <t>Closed</t>
        </is>
      </c>
      <c r="J387" s="4" t="inlineStr">
        <is>
          <t>GBP</t>
        </is>
      </c>
      <c r="K387" s="4" t="n">
        <v>12499.84</v>
      </c>
      <c r="L387" s="4" t="n">
        <v>0</v>
      </c>
      <c r="M387" s="4" t="n">
        <v>12499.84</v>
      </c>
      <c r="N387" s="4" t="inlineStr">
        <is>
          <t>OK</t>
        </is>
      </c>
    </row>
    <row r="388">
      <c r="A388" s="4" t="inlineStr">
        <is>
          <t>CLM-102695</t>
        </is>
      </c>
      <c r="B388" s="4" t="inlineStr">
        <is>
          <t>4240893</t>
        </is>
      </c>
      <c r="C388" s="4" t="inlineStr">
        <is>
          <t>Galway Garages Ltd</t>
        </is>
      </c>
      <c r="D388" s="9" t="n">
        <v>45927</v>
      </c>
      <c r="E388" s="9" t="n">
        <v>46291</v>
      </c>
      <c r="F388" s="4" t="n">
        <v>500000</v>
      </c>
      <c r="G388" s="9" t="n">
        <v>46068</v>
      </c>
      <c r="H388" s="9" t="n">
        <v>46095</v>
      </c>
      <c r="I388" s="4" t="inlineStr">
        <is>
          <t>Open</t>
        </is>
      </c>
      <c r="J388" s="4" t="inlineStr">
        <is>
          <t>EUR</t>
        </is>
      </c>
      <c r="K388" s="4" t="n">
        <v>54742.27</v>
      </c>
      <c r="L388" s="4" t="n">
        <v>63320.44</v>
      </c>
      <c r="M388" s="4" t="n">
        <v>118062.71</v>
      </c>
      <c r="N388" s="4" t="inlineStr">
        <is>
          <t>OK</t>
        </is>
      </c>
    </row>
    <row r="389">
      <c r="A389" s="4" t="inlineStr">
        <is>
          <t>CLM-102702</t>
        </is>
      </c>
      <c r="B389" s="4" t="inlineStr">
        <is>
          <t>4353346</t>
        </is>
      </c>
      <c r="C389" s="4" t="inlineStr">
        <is>
          <t>Westbury Foods LLP</t>
        </is>
      </c>
      <c r="D389" s="9" t="n">
        <v>45734</v>
      </c>
      <c r="E389" s="9" t="n">
        <v>46098</v>
      </c>
      <c r="F389" s="4" t="n">
        <v>500000</v>
      </c>
      <c r="G389" s="9" t="n">
        <v>45795</v>
      </c>
      <c r="H389" s="9" t="n">
        <v>45806</v>
      </c>
      <c r="I389" s="4" t="inlineStr">
        <is>
          <t>Open</t>
        </is>
      </c>
      <c r="J389" s="4" t="inlineStr">
        <is>
          <t>USD</t>
        </is>
      </c>
      <c r="K389" s="4" t="n">
        <v>31075.33</v>
      </c>
      <c r="L389" s="4" t="n">
        <v>38680.2</v>
      </c>
      <c r="M389" s="4" t="n">
        <v>69755.53</v>
      </c>
      <c r="N389" s="4" t="inlineStr">
        <is>
          <t>OK</t>
        </is>
      </c>
    </row>
    <row r="390">
      <c r="A390" s="4" t="inlineStr">
        <is>
          <t>CLM-102709</t>
        </is>
      </c>
      <c r="B390" s="4" t="inlineStr">
        <is>
          <t>4715549</t>
        </is>
      </c>
      <c r="C390" s="4" t="inlineStr">
        <is>
          <t>Hollis Foods Group</t>
        </is>
      </c>
      <c r="D390" s="9" t="n">
        <v>45863</v>
      </c>
      <c r="E390" s="9" t="n">
        <v>46227</v>
      </c>
      <c r="F390" s="4" t="n">
        <v>100000</v>
      </c>
      <c r="G390" s="9" t="n">
        <v>46033</v>
      </c>
      <c r="H390" s="9" t="n">
        <v>46061</v>
      </c>
      <c r="I390" s="4" t="inlineStr">
        <is>
          <t>Closed</t>
        </is>
      </c>
      <c r="J390" s="4" t="inlineStr">
        <is>
          <t>GBP</t>
        </is>
      </c>
      <c r="K390" s="4" t="n">
        <v>40591.11</v>
      </c>
      <c r="L390" s="4" t="n">
        <v>0</v>
      </c>
      <c r="M390" s="4" t="n">
        <v>40591.11</v>
      </c>
      <c r="N390" s="4" t="inlineStr">
        <is>
          <t>OK</t>
        </is>
      </c>
    </row>
    <row r="391">
      <c r="A391" s="4" t="inlineStr">
        <is>
          <t>CLM-102716</t>
        </is>
      </c>
      <c r="B391" s="4" t="inlineStr">
        <is>
          <t>4882138</t>
        </is>
      </c>
      <c r="C391" s="4" t="inlineStr">
        <is>
          <t>Ardmore Engineering Ltd</t>
        </is>
      </c>
      <c r="D391" s="9" t="n">
        <v>45701</v>
      </c>
      <c r="E391" s="9" t="n">
        <v>46065</v>
      </c>
      <c r="F391" s="4" t="n">
        <v>250000</v>
      </c>
      <c r="G391" s="9" t="n">
        <v>45776</v>
      </c>
      <c r="H391" s="9" t="n">
        <v>45815</v>
      </c>
      <c r="I391" s="4" t="inlineStr">
        <is>
          <t>Closed</t>
        </is>
      </c>
      <c r="J391" s="4" t="inlineStr">
        <is>
          <t>GBP</t>
        </is>
      </c>
      <c r="K391" s="4" t="n">
        <v>42950.22</v>
      </c>
      <c r="L391" s="5" t="n">
        <v>1500</v>
      </c>
      <c r="M391" s="4" t="n">
        <v>44450.22</v>
      </c>
      <c r="N391" s="5" t="inlineStr">
        <is>
          <t>Warning: Closed claim still holds a reserve: claim is closed but still holds a reserve of 1,500.00.</t>
        </is>
      </c>
    </row>
    <row r="392">
      <c r="A392" s="4" t="inlineStr">
        <is>
          <t>CLM-102723</t>
        </is>
      </c>
      <c r="B392" s="4" t="inlineStr">
        <is>
          <t>4539633</t>
        </is>
      </c>
      <c r="C392" s="4" t="inlineStr">
        <is>
          <t>Quarry Logistics Group</t>
        </is>
      </c>
      <c r="D392" s="9" t="n">
        <v>45702</v>
      </c>
      <c r="E392" s="9" t="n">
        <v>46066</v>
      </c>
      <c r="F392" s="4" t="n">
        <v>500000</v>
      </c>
      <c r="G392" s="9" t="n">
        <v>46020</v>
      </c>
      <c r="H392" s="9" t="n">
        <v>46057</v>
      </c>
      <c r="I392" s="4" t="inlineStr">
        <is>
          <t>Open</t>
        </is>
      </c>
      <c r="J392" s="4" t="inlineStr">
        <is>
          <t>EUR</t>
        </is>
      </c>
      <c r="K392" s="4" t="n">
        <v>29539.71</v>
      </c>
      <c r="L392" s="4" t="n">
        <v>42201.2</v>
      </c>
      <c r="M392" s="4" t="n">
        <v>71740.91</v>
      </c>
      <c r="N392" s="4" t="inlineStr">
        <is>
          <t>OK</t>
        </is>
      </c>
    </row>
    <row r="393">
      <c r="A393" s="4" t="inlineStr">
        <is>
          <t>CLM-102730</t>
        </is>
      </c>
      <c r="B393" s="4" t="inlineStr">
        <is>
          <t>4433114</t>
        </is>
      </c>
      <c r="C393" s="4" t="inlineStr">
        <is>
          <t>Pembroke Freight Holdings</t>
        </is>
      </c>
      <c r="D393" s="9" t="n">
        <v>45798</v>
      </c>
      <c r="E393" s="9" t="n">
        <v>46162</v>
      </c>
      <c r="F393" s="4" t="n">
        <v>250000</v>
      </c>
      <c r="G393" s="9" t="n">
        <v>45945</v>
      </c>
      <c r="H393" s="9" t="n">
        <v>45982</v>
      </c>
      <c r="I393" s="4" t="inlineStr">
        <is>
          <t>Closed</t>
        </is>
      </c>
      <c r="J393" s="4" t="inlineStr">
        <is>
          <t>USD</t>
        </is>
      </c>
      <c r="K393" s="4" t="n">
        <v>30190.07</v>
      </c>
      <c r="L393" s="4" t="n">
        <v>0</v>
      </c>
      <c r="M393" s="4" t="n">
        <v>30190.07</v>
      </c>
      <c r="N393" s="4" t="inlineStr">
        <is>
          <t>OK</t>
        </is>
      </c>
    </row>
    <row r="394">
      <c r="A394" s="4" t="inlineStr">
        <is>
          <t>CLM-102737</t>
        </is>
      </c>
      <c r="B394" s="4" t="inlineStr">
        <is>
          <t>4302438</t>
        </is>
      </c>
      <c r="C394" s="4" t="inlineStr">
        <is>
          <t>Kestrel Print &amp; Sons</t>
        </is>
      </c>
      <c r="D394" s="9" t="n">
        <v>45685</v>
      </c>
      <c r="E394" s="9" t="n">
        <v>46049</v>
      </c>
      <c r="F394" s="4" t="n">
        <v>500000</v>
      </c>
      <c r="G394" s="9" t="n">
        <v>45981</v>
      </c>
      <c r="H394" s="9" t="n">
        <v>46020</v>
      </c>
      <c r="I394" s="4" t="inlineStr">
        <is>
          <t>Closed</t>
        </is>
      </c>
      <c r="J394" s="4" t="inlineStr">
        <is>
          <t>USD</t>
        </is>
      </c>
      <c r="K394" s="4" t="n">
        <v>34457.1</v>
      </c>
      <c r="L394" s="4" t="n">
        <v>0</v>
      </c>
      <c r="M394" s="4" t="n">
        <v>34457.1</v>
      </c>
      <c r="N394" s="4" t="inlineStr">
        <is>
          <t>OK</t>
        </is>
      </c>
    </row>
    <row r="395">
      <c r="A395" s="4" t="inlineStr">
        <is>
          <t>CLM-102744</t>
        </is>
      </c>
      <c r="B395" s="4" t="inlineStr">
        <is>
          <t>4735946</t>
        </is>
      </c>
      <c r="C395" s="4" t="inlineStr">
        <is>
          <t>Quarry Builders LLP</t>
        </is>
      </c>
      <c r="D395" s="9" t="n">
        <v>45932</v>
      </c>
      <c r="E395" s="9" t="n">
        <v>46296</v>
      </c>
      <c r="F395" s="4" t="n">
        <v>1000000</v>
      </c>
      <c r="G395" s="9" t="n">
        <v>46041</v>
      </c>
      <c r="H395" s="9" t="n">
        <v>46055</v>
      </c>
      <c r="I395" s="4" t="inlineStr">
        <is>
          <t>Open</t>
        </is>
      </c>
      <c r="J395" s="4" t="inlineStr">
        <is>
          <t>USD</t>
        </is>
      </c>
      <c r="K395" s="4" t="n">
        <v>12861.29</v>
      </c>
      <c r="L395" s="4" t="n">
        <v>52533.06</v>
      </c>
      <c r="M395" s="4" t="n">
        <v>65394.35</v>
      </c>
      <c r="N395" s="4" t="inlineStr">
        <is>
          <t>OK</t>
        </is>
      </c>
    </row>
    <row r="396">
      <c r="A396" s="4" t="inlineStr">
        <is>
          <t>CLM-102751</t>
        </is>
      </c>
      <c r="B396" s="4" t="inlineStr">
        <is>
          <t>4033444</t>
        </is>
      </c>
      <c r="C396" s="4" t="inlineStr">
        <is>
          <t>Hollis Pharmacy Ltd</t>
        </is>
      </c>
      <c r="D396" s="9" t="n">
        <v>45763</v>
      </c>
      <c r="E396" s="9" t="n">
        <v>46127</v>
      </c>
      <c r="F396" s="4" t="n">
        <v>1000000</v>
      </c>
      <c r="G396" s="9" t="n">
        <v>45978</v>
      </c>
      <c r="H396" s="9" t="n">
        <v>45998</v>
      </c>
      <c r="I396" s="4" t="inlineStr">
        <is>
          <t>Reopened</t>
        </is>
      </c>
      <c r="J396" s="4" t="inlineStr">
        <is>
          <t>GBP</t>
        </is>
      </c>
      <c r="K396" s="4" t="n">
        <v>47624.97</v>
      </c>
      <c r="L396" s="4" t="n">
        <v>3709.75</v>
      </c>
      <c r="M396" s="4" t="n">
        <v>51334.72</v>
      </c>
      <c r="N396" s="4" t="inlineStr">
        <is>
          <t>OK</t>
        </is>
      </c>
    </row>
    <row r="397">
      <c r="A397" s="4" t="inlineStr">
        <is>
          <t>CLM-102758</t>
        </is>
      </c>
      <c r="B397" s="4" t="inlineStr">
        <is>
          <t>4228955</t>
        </is>
      </c>
      <c r="C397" s="4" t="inlineStr">
        <is>
          <t>Yarrow Freight Group</t>
        </is>
      </c>
      <c r="D397" s="9" t="n">
        <v>45922</v>
      </c>
      <c r="E397" s="9" t="n">
        <v>46286</v>
      </c>
      <c r="F397" s="4" t="n">
        <v>250000</v>
      </c>
      <c r="G397" s="9" t="n">
        <v>46100</v>
      </c>
      <c r="H397" s="9" t="n">
        <v>46108</v>
      </c>
      <c r="I397" s="4" t="inlineStr">
        <is>
          <t>Open</t>
        </is>
      </c>
      <c r="J397" s="4" t="inlineStr">
        <is>
          <t>USD</t>
        </is>
      </c>
      <c r="K397" s="4" t="n">
        <v>23847.34</v>
      </c>
      <c r="L397" s="4" t="n">
        <v>10345.36</v>
      </c>
      <c r="M397" s="4" t="n">
        <v>34192.7</v>
      </c>
      <c r="N397" s="4" t="inlineStr">
        <is>
          <t>OK</t>
        </is>
      </c>
    </row>
    <row r="398">
      <c r="A398" s="4" t="inlineStr">
        <is>
          <t>CLM-102765</t>
        </is>
      </c>
      <c r="B398" s="4" t="inlineStr">
        <is>
          <t>4515126</t>
        </is>
      </c>
      <c r="C398" s="4" t="inlineStr">
        <is>
          <t>Ellery Logistics Limited</t>
        </is>
      </c>
      <c r="D398" s="9" t="n">
        <v>45778</v>
      </c>
      <c r="E398" s="9" t="n">
        <v>46142</v>
      </c>
      <c r="F398" s="4" t="n">
        <v>1000000</v>
      </c>
      <c r="G398" s="9" t="n">
        <v>45987</v>
      </c>
      <c r="H398" s="9" t="n">
        <v>46027</v>
      </c>
      <c r="I398" s="4" t="inlineStr">
        <is>
          <t>Closed</t>
        </is>
      </c>
      <c r="J398" s="4" t="inlineStr">
        <is>
          <t>USD</t>
        </is>
      </c>
      <c r="K398" s="4" t="n">
        <v>49420.32</v>
      </c>
      <c r="L398" s="4" t="n">
        <v>0</v>
      </c>
      <c r="M398" s="4" t="n">
        <v>49420.32</v>
      </c>
      <c r="N398" s="4" t="inlineStr">
        <is>
          <t>OK</t>
        </is>
      </c>
    </row>
    <row r="399">
      <c r="A399" s="4" t="inlineStr">
        <is>
          <t>CLM-102772</t>
        </is>
      </c>
      <c r="B399" s="4" t="inlineStr">
        <is>
          <t>4777220</t>
        </is>
      </c>
      <c r="C399" s="4" t="inlineStr">
        <is>
          <t>Fenwick Foods Holdings</t>
        </is>
      </c>
      <c r="D399" s="9" t="n">
        <v>46015</v>
      </c>
      <c r="E399" s="9" t="n">
        <v>46379</v>
      </c>
      <c r="F399" s="4" t="n">
        <v>250000</v>
      </c>
      <c r="G399" s="9" t="n">
        <v>46171</v>
      </c>
      <c r="H399" s="9" t="n">
        <v>46200</v>
      </c>
      <c r="I399" s="4" t="inlineStr">
        <is>
          <t>Open</t>
        </is>
      </c>
      <c r="J399" s="4" t="inlineStr">
        <is>
          <t>GBP</t>
        </is>
      </c>
      <c r="K399" s="4" t="n">
        <v>20267.79</v>
      </c>
      <c r="L399" s="4" t="n">
        <v>55459.91</v>
      </c>
      <c r="M399" s="4" t="n">
        <v>75727.7</v>
      </c>
      <c r="N399" s="4" t="inlineStr">
        <is>
          <t>OK</t>
        </is>
      </c>
    </row>
    <row r="400">
      <c r="A400" s="4" t="inlineStr">
        <is>
          <t>CLM-102779</t>
        </is>
      </c>
      <c r="B400" s="4" t="inlineStr">
        <is>
          <t>4599645</t>
        </is>
      </c>
      <c r="C400" s="4" t="inlineStr">
        <is>
          <t>Dunmore Dental &amp; Sons</t>
        </is>
      </c>
      <c r="D400" s="9" t="n">
        <v>45793</v>
      </c>
      <c r="E400" s="9" t="n">
        <v>46157</v>
      </c>
      <c r="F400" s="4" t="n">
        <v>100000</v>
      </c>
      <c r="G400" s="9" t="n">
        <v>46123</v>
      </c>
      <c r="H400" s="9" t="n">
        <v>46136</v>
      </c>
      <c r="I400" s="4" t="inlineStr">
        <is>
          <t>Open</t>
        </is>
      </c>
      <c r="J400" s="4" t="inlineStr">
        <is>
          <t>GBP</t>
        </is>
      </c>
      <c r="K400" s="4" t="n">
        <v>8032.8</v>
      </c>
      <c r="L400" s="4" t="n">
        <v>28925.24</v>
      </c>
      <c r="M400" s="4" t="n">
        <v>36958.04</v>
      </c>
      <c r="N400" s="4" t="inlineStr">
        <is>
          <t>OK</t>
        </is>
      </c>
    </row>
    <row r="401">
      <c r="A401" s="4" t="inlineStr">
        <is>
          <t>CLM-102786</t>
        </is>
      </c>
      <c r="B401" s="4" t="inlineStr">
        <is>
          <t>4587898</t>
        </is>
      </c>
      <c r="C401" s="4" t="inlineStr">
        <is>
          <t>Ellery Textiles Ltd</t>
        </is>
      </c>
      <c r="D401" s="9" t="n">
        <v>45933</v>
      </c>
      <c r="E401" s="9" t="n">
        <v>46297</v>
      </c>
      <c r="F401" s="4" t="n">
        <v>500000</v>
      </c>
      <c r="G401" s="9" t="n">
        <v>46096</v>
      </c>
      <c r="H401" s="9" t="n">
        <v>46127</v>
      </c>
      <c r="I401" s="4" t="inlineStr">
        <is>
          <t>Open</t>
        </is>
      </c>
      <c r="J401" s="4" t="inlineStr">
        <is>
          <t>GBP</t>
        </is>
      </c>
      <c r="K401" s="4" t="n">
        <v>44297.43</v>
      </c>
      <c r="L401" s="4" t="n">
        <v>50703.68</v>
      </c>
      <c r="M401" s="4" t="n">
        <v>95001.11</v>
      </c>
      <c r="N401" s="4" t="inlineStr">
        <is>
          <t>OK</t>
        </is>
      </c>
    </row>
    <row r="402">
      <c r="A402" s="4" t="inlineStr">
        <is>
          <t>CLM-102793</t>
        </is>
      </c>
      <c r="B402" s="4" t="inlineStr">
        <is>
          <t>4571459</t>
        </is>
      </c>
      <c r="C402" s="4" t="inlineStr">
        <is>
          <t>Harbour Marine LLP</t>
        </is>
      </c>
      <c r="D402" s="9" t="n">
        <v>45995</v>
      </c>
      <c r="E402" s="9" t="n">
        <v>46359</v>
      </c>
      <c r="F402" s="4" t="n">
        <v>100000</v>
      </c>
      <c r="G402" s="9" t="n">
        <v>46137</v>
      </c>
      <c r="H402" s="9" t="n">
        <v>46176</v>
      </c>
      <c r="I402" s="4" t="inlineStr">
        <is>
          <t>Open</t>
        </is>
      </c>
      <c r="J402" s="4" t="inlineStr">
        <is>
          <t>GBP</t>
        </is>
      </c>
      <c r="K402" s="4" t="n">
        <v>14324.94</v>
      </c>
      <c r="L402" s="4" t="n">
        <v>13291.49</v>
      </c>
      <c r="M402" s="4" t="n">
        <v>27616.43</v>
      </c>
      <c r="N402" s="4" t="inlineStr">
        <is>
          <t>OK</t>
        </is>
      </c>
    </row>
    <row r="403">
      <c r="A403" s="4" t="inlineStr">
        <is>
          <t>CLM-102800</t>
        </is>
      </c>
      <c r="B403" s="4" t="inlineStr">
        <is>
          <t>4863400</t>
        </is>
      </c>
      <c r="C403" s="4" t="inlineStr">
        <is>
          <t>Fenwick Builders &amp; Sons</t>
        </is>
      </c>
      <c r="D403" s="9" t="n">
        <v>45764</v>
      </c>
      <c r="E403" s="9" t="n">
        <v>46128</v>
      </c>
      <c r="F403" s="4" t="n">
        <v>500000</v>
      </c>
      <c r="G403" s="9" t="n">
        <v>46000</v>
      </c>
      <c r="H403" s="9" t="n">
        <v>46038</v>
      </c>
      <c r="I403" s="4" t="inlineStr">
        <is>
          <t>Open</t>
        </is>
      </c>
      <c r="J403" s="4" t="inlineStr">
        <is>
          <t>EUR</t>
        </is>
      </c>
      <c r="K403" s="4" t="n">
        <v>43969.18</v>
      </c>
      <c r="L403" s="4" t="n">
        <v>28303.27</v>
      </c>
      <c r="M403" s="4" t="n">
        <v>72272.45</v>
      </c>
      <c r="N403" s="4" t="inlineStr">
        <is>
          <t>OK</t>
        </is>
      </c>
    </row>
    <row r="404">
      <c r="A404" s="4" t="inlineStr">
        <is>
          <t>CLM-102807</t>
        </is>
      </c>
      <c r="B404" s="4" t="inlineStr">
        <is>
          <t>4333156</t>
        </is>
      </c>
      <c r="C404" s="4" t="inlineStr">
        <is>
          <t>Westbury Farms Group</t>
        </is>
      </c>
      <c r="D404" s="9" t="n">
        <v>45988</v>
      </c>
      <c r="E404" s="9" t="n">
        <v>46352</v>
      </c>
      <c r="F404" s="4" t="n">
        <v>500000</v>
      </c>
      <c r="G404" s="9" t="n">
        <v>46064</v>
      </c>
      <c r="H404" s="9" t="n">
        <v>46074</v>
      </c>
      <c r="I404" s="4" t="inlineStr">
        <is>
          <t>Open</t>
        </is>
      </c>
      <c r="J404" s="4" t="inlineStr">
        <is>
          <t>GBP</t>
        </is>
      </c>
      <c r="K404" s="4" t="n">
        <v>59806.53</v>
      </c>
      <c r="L404" s="4" t="n">
        <v>22544.96</v>
      </c>
      <c r="M404" s="4" t="n">
        <v>82351.49000000001</v>
      </c>
      <c r="N404" s="4" t="inlineStr">
        <is>
          <t>OK</t>
        </is>
      </c>
    </row>
    <row r="405">
      <c r="A405" s="4" t="inlineStr">
        <is>
          <t>CLM-102814</t>
        </is>
      </c>
      <c r="B405" s="4" t="inlineStr">
        <is>
          <t>4482179</t>
        </is>
      </c>
      <c r="C405" s="4" t="inlineStr">
        <is>
          <t>Northcote Engineering Ltd</t>
        </is>
      </c>
      <c r="D405" s="9" t="n">
        <v>45862</v>
      </c>
      <c r="E405" s="9" t="n">
        <v>46226</v>
      </c>
      <c r="F405" s="4" t="n">
        <v>1000000</v>
      </c>
      <c r="G405" s="9" t="n">
        <v>46095</v>
      </c>
      <c r="H405" s="9" t="n">
        <v>46118</v>
      </c>
      <c r="I405" s="4" t="inlineStr">
        <is>
          <t>Open</t>
        </is>
      </c>
      <c r="J405" s="4" t="inlineStr">
        <is>
          <t>USD</t>
        </is>
      </c>
      <c r="K405" s="4" t="n">
        <v>57177.75</v>
      </c>
      <c r="L405" s="4" t="n">
        <v>52589.61</v>
      </c>
      <c r="M405" s="4" t="n">
        <v>109767.36</v>
      </c>
      <c r="N405" s="4" t="inlineStr">
        <is>
          <t>OK</t>
        </is>
      </c>
    </row>
    <row r="406">
      <c r="A406" s="4" t="inlineStr">
        <is>
          <t>CLM-102821</t>
        </is>
      </c>
      <c r="B406" s="4" t="inlineStr">
        <is>
          <t>4263562</t>
        </is>
      </c>
      <c r="C406" s="4" t="inlineStr">
        <is>
          <t>Ellery Logistics Group</t>
        </is>
      </c>
      <c r="D406" s="9" t="n">
        <v>45966</v>
      </c>
      <c r="E406" s="9" t="n">
        <v>46330</v>
      </c>
      <c r="F406" s="4" t="n">
        <v>250000</v>
      </c>
      <c r="G406" s="9" t="n">
        <v>46096</v>
      </c>
      <c r="H406" s="9" t="n">
        <v>46110</v>
      </c>
      <c r="I406" s="4" t="inlineStr">
        <is>
          <t>Open</t>
        </is>
      </c>
      <c r="J406" s="4" t="inlineStr">
        <is>
          <t>GBP</t>
        </is>
      </c>
      <c r="K406" s="4" t="n">
        <v>51629.48</v>
      </c>
      <c r="L406" s="4" t="n">
        <v>65307.41</v>
      </c>
      <c r="M406" s="4" t="n">
        <v>116936.89</v>
      </c>
      <c r="N406" s="4" t="inlineStr">
        <is>
          <t>OK</t>
        </is>
      </c>
    </row>
    <row r="407">
      <c r="A407" s="4" t="inlineStr">
        <is>
          <t>CLM-102828</t>
        </is>
      </c>
      <c r="B407" s="4" t="inlineStr">
        <is>
          <t>4611000</t>
        </is>
      </c>
      <c r="C407" s="4" t="inlineStr">
        <is>
          <t>Ardmore Dental Limited</t>
        </is>
      </c>
      <c r="D407" s="9" t="n">
        <v>45892</v>
      </c>
      <c r="E407" s="9" t="n">
        <v>46256</v>
      </c>
      <c r="F407" s="4" t="n">
        <v>500000</v>
      </c>
      <c r="G407" s="9" t="n">
        <v>46195</v>
      </c>
      <c r="H407" s="9" t="n">
        <v>46227</v>
      </c>
      <c r="I407" s="4" t="inlineStr">
        <is>
          <t>Open</t>
        </is>
      </c>
      <c r="J407" s="4" t="inlineStr">
        <is>
          <t>GBP</t>
        </is>
      </c>
      <c r="K407" s="4" t="n">
        <v>13563.61</v>
      </c>
      <c r="L407" s="4" t="n">
        <v>64522.73</v>
      </c>
      <c r="M407" s="4" t="n">
        <v>78086.34</v>
      </c>
      <c r="N407" s="4" t="inlineStr">
        <is>
          <t>OK</t>
        </is>
      </c>
    </row>
    <row r="408">
      <c r="A408" s="4" t="inlineStr">
        <is>
          <t>CLM-102835</t>
        </is>
      </c>
      <c r="B408" s="4" t="inlineStr">
        <is>
          <t>4178083</t>
        </is>
      </c>
      <c r="C408" s="4" t="inlineStr">
        <is>
          <t>Rathmore Florists plc</t>
        </is>
      </c>
      <c r="D408" s="9" t="n">
        <v>45816</v>
      </c>
      <c r="E408" s="9" t="n">
        <v>46180</v>
      </c>
      <c r="F408" s="4" t="n">
        <v>100000</v>
      </c>
      <c r="G408" s="9" t="n">
        <v>46040</v>
      </c>
      <c r="H408" s="9" t="n">
        <v>46041</v>
      </c>
      <c r="I408" s="4" t="inlineStr">
        <is>
          <t>Open</t>
        </is>
      </c>
      <c r="J408" s="4" t="inlineStr">
        <is>
          <t>GBP</t>
        </is>
      </c>
      <c r="K408" s="4" t="n">
        <v>9571.65</v>
      </c>
      <c r="L408" s="4" t="n">
        <v>31149.5</v>
      </c>
      <c r="M408" s="4" t="n">
        <v>40721.15</v>
      </c>
      <c r="N408" s="4" t="inlineStr">
        <is>
          <t>OK</t>
        </is>
      </c>
    </row>
    <row r="409">
      <c r="A409" s="6" t="inlineStr">
        <is>
          <t>CLM-102842</t>
        </is>
      </c>
      <c r="B409" s="4" t="inlineStr">
        <is>
          <t>4856818</t>
        </is>
      </c>
      <c r="C409" s="4" t="inlineStr">
        <is>
          <t>Thornbury Marine LLP</t>
        </is>
      </c>
      <c r="D409" s="9" t="n">
        <v>45830</v>
      </c>
      <c r="E409" s="9" t="n">
        <v>46194</v>
      </c>
      <c r="F409" s="4" t="n">
        <v>250000</v>
      </c>
      <c r="G409" s="9" t="n">
        <v>46070</v>
      </c>
      <c r="H409" s="9" t="n">
        <v>46095</v>
      </c>
      <c r="I409" s="4" t="inlineStr">
        <is>
          <t>Open</t>
        </is>
      </c>
      <c r="J409" s="4" t="inlineStr">
        <is>
          <t>GBP</t>
        </is>
      </c>
      <c r="K409" s="4" t="n">
        <v>11875.73</v>
      </c>
      <c r="L409" s="4" t="n">
        <v>47618.84</v>
      </c>
      <c r="M409" s="4" t="n">
        <v>59494.57</v>
      </c>
      <c r="N409" s="6" t="inlineStr">
        <is>
          <t>Error: Exact duplicate: claim reference 'CLM-102842' is repeated with identical amounts and status in the same sheet 'Claims' (no reporting period present).</t>
        </is>
      </c>
    </row>
    <row r="410">
      <c r="A410" s="4" t="inlineStr">
        <is>
          <t>CLM-102849</t>
        </is>
      </c>
      <c r="B410" s="4" t="inlineStr">
        <is>
          <t>4744487</t>
        </is>
      </c>
      <c r="C410" s="4" t="inlineStr">
        <is>
          <t>Westbury Foods Holdings</t>
        </is>
      </c>
      <c r="D410" s="9" t="n">
        <v>45724</v>
      </c>
      <c r="E410" s="9" t="n">
        <v>46088</v>
      </c>
      <c r="F410" s="4" t="n">
        <v>1000000</v>
      </c>
      <c r="G410" s="9" t="n">
        <v>45868</v>
      </c>
      <c r="H410" s="9" t="n">
        <v>45908</v>
      </c>
      <c r="I410" s="4" t="inlineStr">
        <is>
          <t>Open</t>
        </is>
      </c>
      <c r="J410" s="4" t="inlineStr">
        <is>
          <t>USD</t>
        </is>
      </c>
      <c r="K410" s="4" t="n">
        <v>4678.57</v>
      </c>
      <c r="L410" s="4" t="n">
        <v>50705.02</v>
      </c>
      <c r="M410" s="4" t="n">
        <v>55383.59</v>
      </c>
      <c r="N410" s="4" t="inlineStr">
        <is>
          <t>OK</t>
        </is>
      </c>
    </row>
    <row r="411">
      <c r="A411" s="4" t="inlineStr">
        <is>
          <t>CLM-102856</t>
        </is>
      </c>
      <c r="B411" s="4" t="inlineStr">
        <is>
          <t>4071185</t>
        </is>
      </c>
      <c r="C411" s="4" t="inlineStr">
        <is>
          <t>Harbour Garages Limited</t>
        </is>
      </c>
      <c r="D411" s="9" t="n">
        <v>45873</v>
      </c>
      <c r="E411" s="9" t="n">
        <v>46237</v>
      </c>
      <c r="F411" s="4" t="n">
        <v>100000</v>
      </c>
      <c r="G411" s="9" t="n">
        <v>45974</v>
      </c>
      <c r="H411" s="9" t="n">
        <v>45997</v>
      </c>
      <c r="I411" s="4" t="inlineStr">
        <is>
          <t>Closed</t>
        </is>
      </c>
      <c r="J411" s="4" t="inlineStr">
        <is>
          <t>GBP</t>
        </is>
      </c>
      <c r="K411" s="4" t="n">
        <v>197.66</v>
      </c>
      <c r="L411" s="4" t="n">
        <v>0</v>
      </c>
      <c r="M411" s="4" t="n">
        <v>197.66</v>
      </c>
      <c r="N411" s="4" t="inlineStr">
        <is>
          <t>OK</t>
        </is>
      </c>
    </row>
    <row r="412">
      <c r="A412" s="4" t="inlineStr">
        <is>
          <t>CLM-102863</t>
        </is>
      </c>
      <c r="B412" s="4" t="inlineStr">
        <is>
          <t>4449752</t>
        </is>
      </c>
      <c r="C412" s="4" t="inlineStr">
        <is>
          <t>Merrow Foods Holdings</t>
        </is>
      </c>
      <c r="D412" s="9" t="n">
        <v>45663</v>
      </c>
      <c r="E412" s="9" t="n">
        <v>46027</v>
      </c>
      <c r="F412" s="4" t="n">
        <v>1000000</v>
      </c>
      <c r="G412" s="9" t="n">
        <v>45684</v>
      </c>
      <c r="H412" s="9" t="n">
        <v>45707</v>
      </c>
      <c r="I412" s="4" t="inlineStr">
        <is>
          <t>Closed</t>
        </is>
      </c>
      <c r="J412" s="4" t="inlineStr">
        <is>
          <t>GBP</t>
        </is>
      </c>
      <c r="K412" s="4" t="n">
        <v>53931.61</v>
      </c>
      <c r="L412" s="4" t="n">
        <v>0</v>
      </c>
      <c r="M412" s="4" t="n">
        <v>53931.61</v>
      </c>
      <c r="N412" s="4" t="inlineStr">
        <is>
          <t>OK</t>
        </is>
      </c>
    </row>
    <row r="413">
      <c r="A413" s="4" t="inlineStr">
        <is>
          <t>CLM-102870</t>
        </is>
      </c>
      <c r="B413" s="4" t="inlineStr">
        <is>
          <t>4104651</t>
        </is>
      </c>
      <c r="C413" s="4" t="inlineStr">
        <is>
          <t>Galway Haulage LLP</t>
        </is>
      </c>
      <c r="D413" s="9" t="n">
        <v>45675</v>
      </c>
      <c r="E413" s="9" t="n">
        <v>46039</v>
      </c>
      <c r="F413" s="4" t="n">
        <v>500000</v>
      </c>
      <c r="G413" s="9" t="n">
        <v>45881</v>
      </c>
      <c r="H413" s="9" t="n">
        <v>45914</v>
      </c>
      <c r="I413" s="4" t="inlineStr">
        <is>
          <t>Open</t>
        </is>
      </c>
      <c r="J413" s="4" t="inlineStr">
        <is>
          <t>GBP</t>
        </is>
      </c>
      <c r="K413" s="4" t="n">
        <v>55557.5</v>
      </c>
      <c r="L413" s="4" t="n">
        <v>53379.41</v>
      </c>
      <c r="M413" s="4" t="n">
        <v>108936.91</v>
      </c>
      <c r="N413" s="4" t="inlineStr">
        <is>
          <t>OK</t>
        </is>
      </c>
    </row>
    <row r="414">
      <c r="A414" s="4" t="inlineStr">
        <is>
          <t>CLM-102877</t>
        </is>
      </c>
      <c r="B414" s="4" t="inlineStr">
        <is>
          <t>4608542</t>
        </is>
      </c>
      <c r="C414" s="4" t="inlineStr">
        <is>
          <t>Ashby Pharmacy &amp; Sons</t>
        </is>
      </c>
      <c r="D414" s="9" t="n">
        <v>45853</v>
      </c>
      <c r="E414" s="9" t="n">
        <v>46217</v>
      </c>
      <c r="F414" s="4" t="n">
        <v>100000</v>
      </c>
      <c r="G414" s="9" t="n">
        <v>46169</v>
      </c>
      <c r="H414" s="9" t="n">
        <v>46181</v>
      </c>
      <c r="I414" s="4" t="inlineStr">
        <is>
          <t>Open</t>
        </is>
      </c>
      <c r="J414" s="4" t="inlineStr">
        <is>
          <t>USD</t>
        </is>
      </c>
      <c r="K414" s="4" t="n">
        <v>13820.55</v>
      </c>
      <c r="L414" s="4" t="n">
        <v>33946.11</v>
      </c>
      <c r="M414" s="4" t="n">
        <v>47766.66</v>
      </c>
      <c r="N414" s="4" t="inlineStr">
        <is>
          <t>OK</t>
        </is>
      </c>
    </row>
    <row r="415">
      <c r="A415" s="4" t="inlineStr">
        <is>
          <t>CLM-102884</t>
        </is>
      </c>
      <c r="B415" s="4" t="inlineStr">
        <is>
          <t>4595253</t>
        </is>
      </c>
      <c r="C415" s="4" t="inlineStr">
        <is>
          <t>Upton Garages Limited</t>
        </is>
      </c>
      <c r="D415" s="9" t="n">
        <v>45890</v>
      </c>
      <c r="E415" s="9" t="n">
        <v>46254</v>
      </c>
      <c r="F415" s="4" t="n">
        <v>100000</v>
      </c>
      <c r="G415" s="9" t="n">
        <v>46022</v>
      </c>
      <c r="H415" s="9" t="n">
        <v>46046</v>
      </c>
      <c r="I415" s="4" t="inlineStr">
        <is>
          <t>Closed</t>
        </is>
      </c>
      <c r="J415" s="4" t="inlineStr">
        <is>
          <t>GBP</t>
        </is>
      </c>
      <c r="K415" s="4" t="n">
        <v>17121.98</v>
      </c>
      <c r="L415" s="4" t="n">
        <v>0</v>
      </c>
      <c r="M415" s="4" t="n">
        <v>17121.98</v>
      </c>
      <c r="N415" s="4" t="inlineStr">
        <is>
          <t>OK</t>
        </is>
      </c>
    </row>
    <row r="416">
      <c r="A416" s="4" t="inlineStr">
        <is>
          <t>CLM-102891</t>
        </is>
      </c>
      <c r="B416" s="4" t="inlineStr">
        <is>
          <t>4307284</t>
        </is>
      </c>
      <c r="C416" s="6" t="n"/>
      <c r="D416" s="9" t="n">
        <v>45913</v>
      </c>
      <c r="E416" s="9" t="n">
        <v>46277</v>
      </c>
      <c r="F416" s="4" t="n">
        <v>250000</v>
      </c>
      <c r="G416" s="9" t="n">
        <v>46094</v>
      </c>
      <c r="H416" s="9" t="n">
        <v>46127</v>
      </c>
      <c r="I416" s="4" t="inlineStr">
        <is>
          <t>Closed</t>
        </is>
      </c>
      <c r="J416" s="4" t="inlineStr">
        <is>
          <t>GBP</t>
        </is>
      </c>
      <c r="K416" s="4" t="n">
        <v>39659.85</v>
      </c>
      <c r="L416" s="4" t="n">
        <v>0</v>
      </c>
      <c r="M416" s="4" t="n">
        <v>39659.85</v>
      </c>
      <c r="N416" s="6" t="inlineStr">
        <is>
          <t>Error: Required data missing: insured name is missing.</t>
        </is>
      </c>
    </row>
    <row r="417">
      <c r="A417" s="4" t="inlineStr">
        <is>
          <t>CLM-102898</t>
        </is>
      </c>
      <c r="B417" s="4" t="inlineStr">
        <is>
          <t>4834933</t>
        </is>
      </c>
      <c r="C417" s="4" t="inlineStr">
        <is>
          <t>Kestrel Foods Ltd</t>
        </is>
      </c>
      <c r="D417" s="9" t="n">
        <v>45764</v>
      </c>
      <c r="E417" s="9" t="n">
        <v>46128</v>
      </c>
      <c r="F417" s="4" t="n">
        <v>500000</v>
      </c>
      <c r="G417" s="9" t="n">
        <v>45861</v>
      </c>
      <c r="H417" s="9" t="n">
        <v>45871</v>
      </c>
      <c r="I417" s="4" t="inlineStr">
        <is>
          <t>Open</t>
        </is>
      </c>
      <c r="J417" s="4" t="inlineStr">
        <is>
          <t>GBP</t>
        </is>
      </c>
      <c r="K417" s="4" t="n">
        <v>57591.05</v>
      </c>
      <c r="L417" s="4" t="n">
        <v>15232.97</v>
      </c>
      <c r="M417" s="4" t="n">
        <v>72824.02</v>
      </c>
      <c r="N417" s="4" t="inlineStr">
        <is>
          <t>OK</t>
        </is>
      </c>
    </row>
    <row r="418">
      <c r="A418" s="4" t="inlineStr">
        <is>
          <t>CLM-102905</t>
        </is>
      </c>
      <c r="B418" s="4" t="inlineStr">
        <is>
          <t>4362719</t>
        </is>
      </c>
      <c r="C418" s="4" t="inlineStr">
        <is>
          <t>Ballina Hotels Limited</t>
        </is>
      </c>
      <c r="D418" s="9" t="n">
        <v>45906</v>
      </c>
      <c r="E418" s="9" t="n">
        <v>46270</v>
      </c>
      <c r="F418" s="4" t="n">
        <v>500000</v>
      </c>
      <c r="G418" s="9" t="n">
        <v>46065</v>
      </c>
      <c r="H418" s="9" t="n">
        <v>46087</v>
      </c>
      <c r="I418" s="4" t="inlineStr">
        <is>
          <t>Open</t>
        </is>
      </c>
      <c r="J418" s="4" t="inlineStr">
        <is>
          <t>GBP</t>
        </is>
      </c>
      <c r="K418" s="4" t="n">
        <v>51750.86</v>
      </c>
      <c r="L418" s="4" t="n">
        <v>72623.24000000001</v>
      </c>
      <c r="M418" s="4" t="n">
        <v>124374.1</v>
      </c>
      <c r="N418" s="4" t="inlineStr">
        <is>
          <t>OK</t>
        </is>
      </c>
    </row>
    <row r="419">
      <c r="A419" s="4" t="inlineStr">
        <is>
          <t>CLM-102912</t>
        </is>
      </c>
      <c r="B419" s="4" t="inlineStr">
        <is>
          <t>4066984</t>
        </is>
      </c>
      <c r="C419" s="4" t="inlineStr">
        <is>
          <t>Galway Pharmacy LLP</t>
        </is>
      </c>
      <c r="D419" s="9" t="n">
        <v>45698</v>
      </c>
      <c r="E419" s="9" t="n">
        <v>46062</v>
      </c>
      <c r="F419" s="4" t="n">
        <v>500000</v>
      </c>
      <c r="G419" s="9" t="n">
        <v>45881</v>
      </c>
      <c r="H419" s="9" t="n">
        <v>45900</v>
      </c>
      <c r="I419" s="4" t="inlineStr">
        <is>
          <t>Closed</t>
        </is>
      </c>
      <c r="J419" s="4" t="inlineStr">
        <is>
          <t>GBP</t>
        </is>
      </c>
      <c r="K419" s="4" t="n">
        <v>50874.3</v>
      </c>
      <c r="L419" s="4" t="n">
        <v>0</v>
      </c>
      <c r="M419" s="4" t="n">
        <v>50874.3</v>
      </c>
      <c r="N419" s="4" t="inlineStr">
        <is>
          <t>OK</t>
        </is>
      </c>
    </row>
    <row r="420">
      <c r="A420" s="4" t="inlineStr">
        <is>
          <t>CLM-102919</t>
        </is>
      </c>
      <c r="B420" s="4" t="inlineStr">
        <is>
          <t>4535989</t>
        </is>
      </c>
      <c r="C420" s="4" t="inlineStr">
        <is>
          <t>Larkspur Garages &amp; Sons</t>
        </is>
      </c>
      <c r="D420" s="9" t="n">
        <v>45931</v>
      </c>
      <c r="E420" s="9" t="n">
        <v>46295</v>
      </c>
      <c r="F420" s="4" t="n">
        <v>1000000</v>
      </c>
      <c r="G420" s="9" t="n">
        <v>46179</v>
      </c>
      <c r="H420" s="9" t="n">
        <v>46212</v>
      </c>
      <c r="I420" s="4" t="inlineStr">
        <is>
          <t>Closed</t>
        </is>
      </c>
      <c r="J420" s="4" t="inlineStr">
        <is>
          <t>GBP</t>
        </is>
      </c>
      <c r="K420" s="4" t="n">
        <v>56519.42</v>
      </c>
      <c r="L420" s="4" t="n">
        <v>0</v>
      </c>
      <c r="M420" s="4" t="n">
        <v>56519.42</v>
      </c>
      <c r="N420" s="4" t="inlineStr">
        <is>
          <t>OK</t>
        </is>
      </c>
    </row>
    <row r="421">
      <c r="A421" s="4" t="inlineStr">
        <is>
          <t>CLM-102926</t>
        </is>
      </c>
      <c r="B421" s="4" t="inlineStr">
        <is>
          <t>4258535</t>
        </is>
      </c>
      <c r="C421" s="4" t="inlineStr">
        <is>
          <t>Galway Electrical Limited</t>
        </is>
      </c>
      <c r="D421" s="9" t="n">
        <v>45851</v>
      </c>
      <c r="E421" s="9" t="n">
        <v>46215</v>
      </c>
      <c r="F421" s="4" t="n">
        <v>1000000</v>
      </c>
      <c r="G421" s="9" t="n">
        <v>45870</v>
      </c>
      <c r="H421" s="9" t="n">
        <v>45907</v>
      </c>
      <c r="I421" s="4" t="inlineStr">
        <is>
          <t>Open</t>
        </is>
      </c>
      <c r="J421" s="4" t="inlineStr">
        <is>
          <t>GBP</t>
        </is>
      </c>
      <c r="K421" s="4" t="n">
        <v>55225.79</v>
      </c>
      <c r="L421" s="4" t="n">
        <v>45026.16</v>
      </c>
      <c r="M421" s="4" t="n">
        <v>100251.95</v>
      </c>
      <c r="N421" s="4" t="inlineStr">
        <is>
          <t>OK</t>
        </is>
      </c>
    </row>
    <row r="422">
      <c r="A422" s="4" t="inlineStr">
        <is>
          <t>CLM-102933</t>
        </is>
      </c>
      <c r="B422" s="4" t="inlineStr">
        <is>
          <t>4856477</t>
        </is>
      </c>
      <c r="C422" s="4" t="inlineStr">
        <is>
          <t>Thornbury Haulage plc</t>
        </is>
      </c>
      <c r="D422" s="9" t="n">
        <v>45862</v>
      </c>
      <c r="E422" s="9" t="n">
        <v>46226</v>
      </c>
      <c r="F422" s="4" t="n">
        <v>100000</v>
      </c>
      <c r="G422" s="9" t="n">
        <v>45925</v>
      </c>
      <c r="H422" s="9" t="n">
        <v>45951</v>
      </c>
      <c r="I422" s="4" t="inlineStr">
        <is>
          <t>Open</t>
        </is>
      </c>
      <c r="J422" s="4" t="inlineStr">
        <is>
          <t>GBP</t>
        </is>
      </c>
      <c r="K422" s="4" t="n">
        <v>11008.19</v>
      </c>
      <c r="L422" s="4" t="n">
        <v>14619.89</v>
      </c>
      <c r="M422" s="4" t="n">
        <v>25628.08</v>
      </c>
      <c r="N422" s="4" t="inlineStr">
        <is>
          <t>OK</t>
        </is>
      </c>
    </row>
    <row r="423">
      <c r="A423" s="4" t="inlineStr">
        <is>
          <t>CLM-102940</t>
        </is>
      </c>
      <c r="B423" s="4" t="inlineStr">
        <is>
          <t>4707665</t>
        </is>
      </c>
      <c r="C423" s="4" t="inlineStr">
        <is>
          <t>Pembroke Print Group</t>
        </is>
      </c>
      <c r="D423" s="9" t="n">
        <v>45983</v>
      </c>
      <c r="E423" s="9" t="n">
        <v>46347</v>
      </c>
      <c r="F423" s="4" t="n">
        <v>1000000</v>
      </c>
      <c r="G423" s="9" t="n">
        <v>46285</v>
      </c>
      <c r="H423" s="9" t="n">
        <v>46292</v>
      </c>
      <c r="I423" s="4" t="inlineStr">
        <is>
          <t>Closed</t>
        </is>
      </c>
      <c r="J423" s="4" t="inlineStr">
        <is>
          <t>USD</t>
        </is>
      </c>
      <c r="K423" s="4" t="n">
        <v>7411.59</v>
      </c>
      <c r="L423" s="4" t="n">
        <v>0</v>
      </c>
      <c r="M423" s="4" t="n">
        <v>7411.59</v>
      </c>
      <c r="N423" s="4" t="inlineStr">
        <is>
          <t>OK</t>
        </is>
      </c>
    </row>
    <row r="424">
      <c r="A424" s="4" t="inlineStr">
        <is>
          <t>CLM-102947</t>
        </is>
      </c>
      <c r="B424" s="4" t="inlineStr">
        <is>
          <t>4408326</t>
        </is>
      </c>
      <c r="C424" s="4" t="inlineStr">
        <is>
          <t>Kilbride Marine LLP</t>
        </is>
      </c>
      <c r="D424" s="9" t="n">
        <v>45962</v>
      </c>
      <c r="E424" s="9" t="n">
        <v>46326</v>
      </c>
      <c r="F424" s="4" t="n">
        <v>100000</v>
      </c>
      <c r="G424" s="9" t="n">
        <v>46262</v>
      </c>
      <c r="H424" s="9" t="n">
        <v>46285</v>
      </c>
      <c r="I424" s="4" t="inlineStr">
        <is>
          <t>Open</t>
        </is>
      </c>
      <c r="J424" s="4" t="inlineStr">
        <is>
          <t>USD</t>
        </is>
      </c>
      <c r="K424" s="4" t="n">
        <v>30328.7</v>
      </c>
      <c r="L424" s="4" t="n">
        <v>20671.36</v>
      </c>
      <c r="M424" s="4" t="n">
        <v>51000.06</v>
      </c>
      <c r="N424" s="4" t="inlineStr">
        <is>
          <t>OK</t>
        </is>
      </c>
    </row>
    <row r="425">
      <c r="A425" s="4" t="inlineStr">
        <is>
          <t>CLM-102954</t>
        </is>
      </c>
      <c r="B425" s="4" t="inlineStr">
        <is>
          <t>4071968</t>
        </is>
      </c>
      <c r="C425" s="4" t="inlineStr">
        <is>
          <t>Thornbury Freight Group</t>
        </is>
      </c>
      <c r="D425" s="9" t="n">
        <v>45854</v>
      </c>
      <c r="E425" s="9" t="n">
        <v>46218</v>
      </c>
      <c r="F425" s="4" t="n">
        <v>250000</v>
      </c>
      <c r="G425" s="9" t="n">
        <v>45871</v>
      </c>
      <c r="H425" s="9" t="n">
        <v>45901</v>
      </c>
      <c r="I425" s="4" t="inlineStr">
        <is>
          <t>Closed</t>
        </is>
      </c>
      <c r="J425" s="4" t="inlineStr">
        <is>
          <t>EUR</t>
        </is>
      </c>
      <c r="K425" s="4" t="n">
        <v>35986.7</v>
      </c>
      <c r="L425" s="4" t="n">
        <v>0</v>
      </c>
      <c r="M425" s="4" t="n">
        <v>35986.7</v>
      </c>
      <c r="N425" s="4" t="inlineStr">
        <is>
          <t>OK</t>
        </is>
      </c>
    </row>
    <row r="426">
      <c r="A426" s="4" t="inlineStr">
        <is>
          <t>CLM-102961</t>
        </is>
      </c>
      <c r="B426" s="4" t="inlineStr">
        <is>
          <t>4340505</t>
        </is>
      </c>
      <c r="C426" s="4" t="inlineStr">
        <is>
          <t>Harbour Garages &amp; Sons</t>
        </is>
      </c>
      <c r="D426" s="9" t="n">
        <v>45836</v>
      </c>
      <c r="E426" s="9" t="n">
        <v>46200</v>
      </c>
      <c r="F426" s="4" t="n">
        <v>500000</v>
      </c>
      <c r="G426" s="9" t="n">
        <v>45979</v>
      </c>
      <c r="H426" s="9" t="n">
        <v>45990</v>
      </c>
      <c r="I426" s="4" t="inlineStr">
        <is>
          <t>Open</t>
        </is>
      </c>
      <c r="J426" s="4" t="inlineStr">
        <is>
          <t>GBP</t>
        </is>
      </c>
      <c r="K426" s="4" t="n">
        <v>52823.78</v>
      </c>
      <c r="L426" s="4" t="n">
        <v>50403.88</v>
      </c>
      <c r="M426" s="4" t="n">
        <v>103227.66</v>
      </c>
      <c r="N426" s="4" t="inlineStr">
        <is>
          <t>OK</t>
        </is>
      </c>
    </row>
    <row r="427">
      <c r="A427" s="4" t="inlineStr">
        <is>
          <t>CLM-102968</t>
        </is>
      </c>
      <c r="B427" s="4" t="inlineStr">
        <is>
          <t>4258328</t>
        </is>
      </c>
      <c r="C427" s="4" t="inlineStr">
        <is>
          <t>Vale Foods Group</t>
        </is>
      </c>
      <c r="D427" s="9" t="n">
        <v>45826</v>
      </c>
      <c r="E427" s="9" t="n">
        <v>46190</v>
      </c>
      <c r="F427" s="4" t="n">
        <v>1000000</v>
      </c>
      <c r="G427" s="9" t="n">
        <v>46116</v>
      </c>
      <c r="H427" s="9" t="n">
        <v>46139</v>
      </c>
      <c r="I427" s="4" t="inlineStr">
        <is>
          <t>Open</t>
        </is>
      </c>
      <c r="J427" s="4" t="inlineStr">
        <is>
          <t>GBP</t>
        </is>
      </c>
      <c r="K427" s="4" t="n">
        <v>22383.73</v>
      </c>
      <c r="L427" s="4" t="n">
        <v>19839.75</v>
      </c>
      <c r="M427" s="4" t="n">
        <v>42223.48</v>
      </c>
      <c r="N427" s="4" t="inlineStr">
        <is>
          <t>OK</t>
        </is>
      </c>
    </row>
    <row r="428">
      <c r="A428" s="4" t="inlineStr">
        <is>
          <t>CLM-102975</t>
        </is>
      </c>
      <c r="B428" s="4" t="inlineStr">
        <is>
          <t>4792865</t>
        </is>
      </c>
      <c r="C428" s="4" t="inlineStr">
        <is>
          <t>Ellery Freight Holdings</t>
        </is>
      </c>
      <c r="D428" s="9" t="n">
        <v>45939</v>
      </c>
      <c r="E428" s="9" t="n">
        <v>46303</v>
      </c>
      <c r="F428" s="4" t="n">
        <v>1000000</v>
      </c>
      <c r="G428" s="9" t="n">
        <v>46183</v>
      </c>
      <c r="H428" s="9" t="n">
        <v>46198</v>
      </c>
      <c r="I428" s="4" t="inlineStr">
        <is>
          <t>Open</t>
        </is>
      </c>
      <c r="J428" s="4" t="inlineStr">
        <is>
          <t>EUR</t>
        </is>
      </c>
      <c r="K428" s="4" t="n">
        <v>43951.85</v>
      </c>
      <c r="L428" s="4" t="n">
        <v>66361.75</v>
      </c>
      <c r="M428" s="4" t="n">
        <v>110313.6</v>
      </c>
      <c r="N428" s="4" t="inlineStr">
        <is>
          <t>OK</t>
        </is>
      </c>
    </row>
    <row r="429">
      <c r="A429" s="4" t="inlineStr">
        <is>
          <t>CLM-102982</t>
        </is>
      </c>
      <c r="B429" s="4" t="inlineStr">
        <is>
          <t>4893598</t>
        </is>
      </c>
      <c r="C429" s="4" t="inlineStr">
        <is>
          <t>Ashby Farms Limited</t>
        </is>
      </c>
      <c r="D429" s="9" t="n">
        <v>45749</v>
      </c>
      <c r="E429" s="9" t="n">
        <v>46113</v>
      </c>
      <c r="F429" s="4" t="n">
        <v>100000</v>
      </c>
      <c r="G429" s="9" t="n">
        <v>46002</v>
      </c>
      <c r="H429" s="9" t="n">
        <v>46025</v>
      </c>
      <c r="I429" s="4" t="inlineStr">
        <is>
          <t>Open</t>
        </is>
      </c>
      <c r="J429" s="4" t="inlineStr">
        <is>
          <t>GBP</t>
        </is>
      </c>
      <c r="K429" s="4" t="n">
        <v>9874.309999999999</v>
      </c>
      <c r="L429" s="4" t="n">
        <v>8475.58</v>
      </c>
      <c r="M429" s="4" t="n">
        <v>18349.89</v>
      </c>
      <c r="N429" s="4" t="inlineStr">
        <is>
          <t>OK</t>
        </is>
      </c>
    </row>
    <row r="430">
      <c r="A430" s="4" t="inlineStr">
        <is>
          <t>CLM-102989</t>
        </is>
      </c>
      <c r="B430" s="4" t="inlineStr">
        <is>
          <t>4382291</t>
        </is>
      </c>
      <c r="C430" s="4" t="inlineStr">
        <is>
          <t>Vale Marine Ltd</t>
        </is>
      </c>
      <c r="D430" s="9" t="n">
        <v>45667</v>
      </c>
      <c r="E430" s="9" t="n">
        <v>46031</v>
      </c>
      <c r="F430" s="4" t="n">
        <v>100000</v>
      </c>
      <c r="G430" s="9" t="n">
        <v>45777</v>
      </c>
      <c r="H430" s="9" t="n">
        <v>45778</v>
      </c>
      <c r="I430" s="4" t="inlineStr">
        <is>
          <t>Closed</t>
        </is>
      </c>
      <c r="J430" s="4" t="inlineStr">
        <is>
          <t>EUR</t>
        </is>
      </c>
      <c r="K430" s="4" t="n">
        <v>36118.35</v>
      </c>
      <c r="L430" s="4" t="n">
        <v>0</v>
      </c>
      <c r="M430" s="4" t="n">
        <v>36118.35</v>
      </c>
      <c r="N430" s="4" t="inlineStr">
        <is>
          <t>OK</t>
        </is>
      </c>
    </row>
    <row r="431">
      <c r="A431" s="4" t="inlineStr">
        <is>
          <t>CLM-102996</t>
        </is>
      </c>
      <c r="B431" s="4" t="inlineStr">
        <is>
          <t>4240084</t>
        </is>
      </c>
      <c r="C431" s="4" t="inlineStr">
        <is>
          <t>Selby Pharmacy Holdings</t>
        </is>
      </c>
      <c r="D431" s="9" t="n">
        <v>45828</v>
      </c>
      <c r="E431" s="9" t="n">
        <v>46192</v>
      </c>
      <c r="F431" s="4" t="n">
        <v>100000</v>
      </c>
      <c r="G431" s="9" t="n">
        <v>46014</v>
      </c>
      <c r="H431" s="9" t="n">
        <v>46044</v>
      </c>
      <c r="I431" s="4" t="inlineStr">
        <is>
          <t>Open</t>
        </is>
      </c>
      <c r="J431" s="4" t="inlineStr">
        <is>
          <t>GBP</t>
        </is>
      </c>
      <c r="K431" s="4" t="n">
        <v>39610.75</v>
      </c>
      <c r="L431" s="4" t="n">
        <v>8801.41</v>
      </c>
      <c r="M431" s="4" t="n">
        <v>48412.16</v>
      </c>
      <c r="N431" s="4" t="inlineStr">
        <is>
          <t>OK</t>
        </is>
      </c>
    </row>
    <row r="432">
      <c r="A432" s="4" t="inlineStr">
        <is>
          <t>CLM-103003</t>
        </is>
      </c>
      <c r="B432" s="4" t="inlineStr">
        <is>
          <t>4757655</t>
        </is>
      </c>
      <c r="C432" s="4" t="inlineStr">
        <is>
          <t>Juniper Haulage plc</t>
        </is>
      </c>
      <c r="D432" s="9" t="n">
        <v>45793</v>
      </c>
      <c r="E432" s="9" t="n">
        <v>46157</v>
      </c>
      <c r="F432" s="4" t="n">
        <v>100000</v>
      </c>
      <c r="G432" s="9" t="n">
        <v>46038</v>
      </c>
      <c r="H432" s="9" t="n">
        <v>46077</v>
      </c>
      <c r="I432" s="4" t="inlineStr">
        <is>
          <t>Open</t>
        </is>
      </c>
      <c r="J432" s="4" t="inlineStr">
        <is>
          <t>GBP</t>
        </is>
      </c>
      <c r="K432" s="4" t="n">
        <v>38698.4</v>
      </c>
      <c r="L432" s="4" t="n">
        <v>8711.6</v>
      </c>
      <c r="M432" s="4" t="n">
        <v>47410</v>
      </c>
      <c r="N432" s="4" t="inlineStr">
        <is>
          <t>OK</t>
        </is>
      </c>
    </row>
    <row r="433">
      <c r="A433" s="4" t="inlineStr">
        <is>
          <t>CLM-103010</t>
        </is>
      </c>
      <c r="B433" s="4" t="inlineStr">
        <is>
          <t>4133151</t>
        </is>
      </c>
      <c r="C433" s="4" t="inlineStr">
        <is>
          <t>Rathmore Marine LLP</t>
        </is>
      </c>
      <c r="D433" s="9" t="n">
        <v>45962</v>
      </c>
      <c r="E433" s="9" t="n">
        <v>46326</v>
      </c>
      <c r="F433" s="4" t="n">
        <v>500000</v>
      </c>
      <c r="G433" s="9" t="n">
        <v>46237</v>
      </c>
      <c r="H433" s="9" t="n">
        <v>46244</v>
      </c>
      <c r="I433" s="4" t="inlineStr">
        <is>
          <t>Closed</t>
        </is>
      </c>
      <c r="J433" s="4" t="inlineStr">
        <is>
          <t>USD</t>
        </is>
      </c>
      <c r="K433" s="4" t="n">
        <v>26062.08</v>
      </c>
      <c r="L433" s="4" t="n">
        <v>0</v>
      </c>
      <c r="M433" s="4" t="n">
        <v>26062.08</v>
      </c>
      <c r="N433" s="4" t="inlineStr">
        <is>
          <t>OK</t>
        </is>
      </c>
    </row>
    <row r="434">
      <c r="A434" s="4" t="inlineStr">
        <is>
          <t>CLM-103017</t>
        </is>
      </c>
      <c r="B434" s="4" t="inlineStr">
        <is>
          <t>4311440</t>
        </is>
      </c>
      <c r="C434" s="4" t="inlineStr">
        <is>
          <t>Upton Dental Group</t>
        </is>
      </c>
      <c r="D434" s="9" t="n">
        <v>45895</v>
      </c>
      <c r="E434" s="9" t="n">
        <v>46259</v>
      </c>
      <c r="F434" s="4" t="n">
        <v>1000000</v>
      </c>
      <c r="G434" s="9" t="n">
        <v>46025</v>
      </c>
      <c r="H434" s="9" t="n">
        <v>46031</v>
      </c>
      <c r="I434" s="4" t="inlineStr">
        <is>
          <t>Open</t>
        </is>
      </c>
      <c r="J434" s="4" t="inlineStr">
        <is>
          <t>GBP</t>
        </is>
      </c>
      <c r="K434" s="4" t="n">
        <v>53734.61</v>
      </c>
      <c r="L434" s="4" t="n">
        <v>76866.28</v>
      </c>
      <c r="M434" s="4" t="n">
        <v>130600.89</v>
      </c>
      <c r="N434" s="4" t="inlineStr">
        <is>
          <t>OK</t>
        </is>
      </c>
    </row>
    <row r="435">
      <c r="A435" s="4" t="inlineStr">
        <is>
          <t>CLM-103024</t>
        </is>
      </c>
      <c r="B435" s="4" t="inlineStr">
        <is>
          <t>4050390</t>
        </is>
      </c>
      <c r="C435" s="4" t="inlineStr">
        <is>
          <t>Vale Foods &amp; Sons</t>
        </is>
      </c>
      <c r="D435" s="9" t="n">
        <v>46001</v>
      </c>
      <c r="E435" s="9" t="n">
        <v>46365</v>
      </c>
      <c r="F435" s="4" t="n">
        <v>250000</v>
      </c>
      <c r="G435" s="9" t="n">
        <v>46167</v>
      </c>
      <c r="H435" s="9" t="n">
        <v>46168</v>
      </c>
      <c r="I435" s="4" t="inlineStr">
        <is>
          <t>Open</t>
        </is>
      </c>
      <c r="J435" s="4" t="inlineStr">
        <is>
          <t>EUR</t>
        </is>
      </c>
      <c r="K435" s="4" t="n">
        <v>55562.77</v>
      </c>
      <c r="L435" s="4" t="n">
        <v>66972.08</v>
      </c>
      <c r="M435" s="4" t="n">
        <v>122534.85</v>
      </c>
      <c r="N435" s="4" t="inlineStr">
        <is>
          <t>OK</t>
        </is>
      </c>
    </row>
    <row r="436">
      <c r="A436" s="4" t="inlineStr">
        <is>
          <t>CLM-103031</t>
        </is>
      </c>
      <c r="B436" s="4" t="inlineStr">
        <is>
          <t>4688573</t>
        </is>
      </c>
      <c r="C436" s="4" t="inlineStr">
        <is>
          <t>Ellery Engineering &amp; Sons</t>
        </is>
      </c>
      <c r="D436" s="9" t="n">
        <v>45737</v>
      </c>
      <c r="E436" s="9" t="n">
        <v>46101</v>
      </c>
      <c r="F436" s="4" t="n">
        <v>1000000</v>
      </c>
      <c r="G436" s="9" t="n">
        <v>46060</v>
      </c>
      <c r="H436" s="9" t="n">
        <v>46079</v>
      </c>
      <c r="I436" s="4" t="inlineStr">
        <is>
          <t>Open</t>
        </is>
      </c>
      <c r="J436" s="4" t="inlineStr">
        <is>
          <t>GBP</t>
        </is>
      </c>
      <c r="K436" s="4" t="n">
        <v>50131.31</v>
      </c>
      <c r="L436" s="4" t="n">
        <v>70551.98</v>
      </c>
      <c r="M436" s="4" t="n">
        <v>120683.29</v>
      </c>
      <c r="N436" s="4" t="inlineStr">
        <is>
          <t>OK</t>
        </is>
      </c>
    </row>
    <row r="437">
      <c r="A437" s="4" t="inlineStr">
        <is>
          <t>CLM-103038</t>
        </is>
      </c>
      <c r="B437" s="4" t="inlineStr">
        <is>
          <t>4224639</t>
        </is>
      </c>
      <c r="C437" s="4" t="inlineStr">
        <is>
          <t>Inglewood Motors Limited</t>
        </is>
      </c>
      <c r="D437" s="9" t="n">
        <v>45979</v>
      </c>
      <c r="E437" s="9" t="n">
        <v>46343</v>
      </c>
      <c r="F437" s="4" t="n">
        <v>250000</v>
      </c>
      <c r="G437" s="9" t="n">
        <v>46216</v>
      </c>
      <c r="H437" s="9" t="n">
        <v>46243</v>
      </c>
      <c r="I437" s="4" t="inlineStr">
        <is>
          <t>Open</t>
        </is>
      </c>
      <c r="J437" s="4" t="inlineStr">
        <is>
          <t>GBP</t>
        </is>
      </c>
      <c r="K437" s="4" t="n">
        <v>7045.35</v>
      </c>
      <c r="L437" s="4" t="n">
        <v>75696.92999999999</v>
      </c>
      <c r="M437" s="4" t="n">
        <v>82742.28</v>
      </c>
      <c r="N437" s="4" t="inlineStr">
        <is>
          <t>OK</t>
        </is>
      </c>
    </row>
    <row r="438">
      <c r="A438" s="4" t="inlineStr">
        <is>
          <t>CLM-103045</t>
        </is>
      </c>
      <c r="B438" s="4" t="inlineStr">
        <is>
          <t>4090196</t>
        </is>
      </c>
      <c r="C438" s="4" t="inlineStr">
        <is>
          <t>Thornbury Pharmacy Holdings</t>
        </is>
      </c>
      <c r="D438" s="9" t="n">
        <v>45846</v>
      </c>
      <c r="E438" s="9" t="n">
        <v>46210</v>
      </c>
      <c r="F438" s="4" t="n">
        <v>500000</v>
      </c>
      <c r="G438" s="9" t="n">
        <v>46162</v>
      </c>
      <c r="H438" s="9" t="n">
        <v>46172</v>
      </c>
      <c r="I438" s="4" t="inlineStr">
        <is>
          <t>Open</t>
        </is>
      </c>
      <c r="J438" s="4" t="inlineStr">
        <is>
          <t>GBP</t>
        </is>
      </c>
      <c r="K438" s="4" t="n">
        <v>40235.57</v>
      </c>
      <c r="L438" s="4" t="n">
        <v>1388.97</v>
      </c>
      <c r="M438" s="4" t="n">
        <v>41624.54</v>
      </c>
      <c r="N438" s="4" t="inlineStr">
        <is>
          <t>OK</t>
        </is>
      </c>
    </row>
    <row r="439">
      <c r="A439" s="4" t="inlineStr">
        <is>
          <t>CLM-103052</t>
        </is>
      </c>
      <c r="B439" s="4" t="inlineStr">
        <is>
          <t>4892752</t>
        </is>
      </c>
      <c r="C439" s="4" t="inlineStr">
        <is>
          <t>Ardmore Marine Group</t>
        </is>
      </c>
      <c r="D439" s="9" t="n">
        <v>45975</v>
      </c>
      <c r="E439" s="9" t="n">
        <v>46339</v>
      </c>
      <c r="F439" s="4" t="n">
        <v>250000</v>
      </c>
      <c r="G439" s="9" t="n">
        <v>45984</v>
      </c>
      <c r="H439" s="9" t="n">
        <v>46020</v>
      </c>
      <c r="I439" s="4" t="inlineStr">
        <is>
          <t>Open</t>
        </is>
      </c>
      <c r="J439" s="4" t="inlineStr">
        <is>
          <t>USD</t>
        </is>
      </c>
      <c r="K439" s="4" t="n">
        <v>46831.02</v>
      </c>
      <c r="L439" s="4" t="n">
        <v>54076.29</v>
      </c>
      <c r="M439" s="4" t="n">
        <v>100907.31</v>
      </c>
      <c r="N439" s="4" t="inlineStr">
        <is>
          <t>OK</t>
        </is>
      </c>
    </row>
    <row r="440">
      <c r="A440" s="4" t="inlineStr">
        <is>
          <t>CLM-103059</t>
        </is>
      </c>
      <c r="B440" s="4" t="inlineStr">
        <is>
          <t>4389527</t>
        </is>
      </c>
      <c r="C440" s="4" t="inlineStr">
        <is>
          <t>Ellery Pharmacy Limited</t>
        </is>
      </c>
      <c r="D440" s="9" t="n">
        <v>45969</v>
      </c>
      <c r="E440" s="9" t="n">
        <v>46333</v>
      </c>
      <c r="F440" s="4" t="n">
        <v>100000</v>
      </c>
      <c r="G440" s="9" t="n">
        <v>46088</v>
      </c>
      <c r="H440" s="9" t="n">
        <v>46109</v>
      </c>
      <c r="I440" s="4" t="inlineStr">
        <is>
          <t>Closed</t>
        </is>
      </c>
      <c r="J440" s="4" t="inlineStr">
        <is>
          <t>GBP</t>
        </is>
      </c>
      <c r="K440" s="4" t="n">
        <v>28353.75</v>
      </c>
      <c r="L440" s="4" t="n">
        <v>0</v>
      </c>
      <c r="M440" s="4" t="n">
        <v>28353.75</v>
      </c>
      <c r="N440" s="4" t="inlineStr">
        <is>
          <t>OK</t>
        </is>
      </c>
    </row>
    <row r="441">
      <c r="A441" s="4" t="inlineStr">
        <is>
          <t>CLM-103066</t>
        </is>
      </c>
      <c r="B441" s="4" t="inlineStr">
        <is>
          <t>4613592</t>
        </is>
      </c>
      <c r="C441" s="4" t="inlineStr">
        <is>
          <t>Larkspur Marine Group</t>
        </is>
      </c>
      <c r="D441" s="9" t="n">
        <v>45677</v>
      </c>
      <c r="E441" s="9" t="n">
        <v>46041</v>
      </c>
      <c r="F441" s="4" t="n">
        <v>1000000</v>
      </c>
      <c r="G441" s="9" t="n">
        <v>45900</v>
      </c>
      <c r="H441" s="9" t="n">
        <v>45931</v>
      </c>
      <c r="I441" s="4" t="inlineStr">
        <is>
          <t>Closed</t>
        </is>
      </c>
      <c r="J441" s="4" t="inlineStr">
        <is>
          <t>EUR</t>
        </is>
      </c>
      <c r="K441" s="4" t="n">
        <v>10735.78</v>
      </c>
      <c r="L441" s="4" t="n">
        <v>0</v>
      </c>
      <c r="M441" s="4" t="n">
        <v>10735.78</v>
      </c>
      <c r="N441" s="4" t="inlineStr">
        <is>
          <t>OK</t>
        </is>
      </c>
    </row>
    <row r="442">
      <c r="A442" s="4" t="inlineStr">
        <is>
          <t>CLM-103073</t>
        </is>
      </c>
      <c r="B442" s="4" t="inlineStr">
        <is>
          <t>4710087</t>
        </is>
      </c>
      <c r="C442" s="4" t="inlineStr">
        <is>
          <t>Westbury Motors Holdings</t>
        </is>
      </c>
      <c r="D442" s="9" t="n">
        <v>45882</v>
      </c>
      <c r="E442" s="9" t="n">
        <v>46246</v>
      </c>
      <c r="F442" s="4" t="n">
        <v>250000</v>
      </c>
      <c r="G442" s="9" t="n">
        <v>45954</v>
      </c>
      <c r="H442" s="9" t="n">
        <v>45975</v>
      </c>
      <c r="I442" s="4" t="inlineStr">
        <is>
          <t>Open</t>
        </is>
      </c>
      <c r="J442" s="4" t="inlineStr">
        <is>
          <t>GBP</t>
        </is>
      </c>
      <c r="K442" s="4" t="n">
        <v>57065.82</v>
      </c>
      <c r="L442" s="4" t="n">
        <v>32989.38</v>
      </c>
      <c r="M442" s="4" t="n">
        <v>90055.2</v>
      </c>
      <c r="N442" s="4" t="inlineStr">
        <is>
          <t>OK</t>
        </is>
      </c>
    </row>
    <row r="443">
      <c r="A443" s="4" t="inlineStr">
        <is>
          <t>CLM-103080</t>
        </is>
      </c>
      <c r="B443" s="4" t="inlineStr">
        <is>
          <t>4385306</t>
        </is>
      </c>
      <c r="C443" s="4" t="inlineStr">
        <is>
          <t>Ellery Motors LLP</t>
        </is>
      </c>
      <c r="D443" s="9" t="n">
        <v>46016</v>
      </c>
      <c r="E443" s="9" t="n">
        <v>46380</v>
      </c>
      <c r="F443" s="4" t="n">
        <v>100000</v>
      </c>
      <c r="G443" s="9" t="n">
        <v>46262</v>
      </c>
      <c r="H443" s="9" t="n">
        <v>46273</v>
      </c>
      <c r="I443" s="4" t="inlineStr">
        <is>
          <t>Closed</t>
        </is>
      </c>
      <c r="J443" s="4" t="inlineStr">
        <is>
          <t>GBP</t>
        </is>
      </c>
      <c r="K443" s="4" t="n">
        <v>35659.96</v>
      </c>
      <c r="L443" s="4" t="n">
        <v>0</v>
      </c>
      <c r="M443" s="4" t="n">
        <v>35659.96</v>
      </c>
      <c r="N443" s="4" t="inlineStr">
        <is>
          <t>OK</t>
        </is>
      </c>
    </row>
    <row r="444">
      <c r="A444" s="4" t="inlineStr">
        <is>
          <t>CLM-103087</t>
        </is>
      </c>
      <c r="B444" s="4" t="inlineStr">
        <is>
          <t>4177531</t>
        </is>
      </c>
      <c r="C444" s="4" t="inlineStr">
        <is>
          <t>Ardmore Print Limited</t>
        </is>
      </c>
      <c r="D444" s="9" t="n">
        <v>45924</v>
      </c>
      <c r="E444" s="9" t="n">
        <v>46288</v>
      </c>
      <c r="F444" s="4" t="n">
        <v>250000</v>
      </c>
      <c r="G444" s="9" t="n">
        <v>46058</v>
      </c>
      <c r="H444" s="9" t="n">
        <v>46066</v>
      </c>
      <c r="I444" s="4" t="inlineStr">
        <is>
          <t>Open</t>
        </is>
      </c>
      <c r="J444" s="4" t="inlineStr">
        <is>
          <t>EUR</t>
        </is>
      </c>
      <c r="K444" s="4" t="n">
        <v>46098.82</v>
      </c>
      <c r="L444" s="4" t="n">
        <v>76067.66</v>
      </c>
      <c r="M444" s="4" t="n">
        <v>122166.48</v>
      </c>
      <c r="N444" s="4" t="inlineStr">
        <is>
          <t>OK</t>
        </is>
      </c>
    </row>
    <row r="445">
      <c r="A445" s="4" t="inlineStr">
        <is>
          <t>CLM-103094</t>
        </is>
      </c>
      <c r="B445" s="4" t="inlineStr">
        <is>
          <t>4375203</t>
        </is>
      </c>
      <c r="C445" s="4" t="inlineStr">
        <is>
          <t>Westbury Textiles Holdings</t>
        </is>
      </c>
      <c r="D445" s="9" t="n">
        <v>45954</v>
      </c>
      <c r="E445" s="9" t="n">
        <v>46318</v>
      </c>
      <c r="F445" s="4" t="n">
        <v>250000</v>
      </c>
      <c r="G445" s="9" t="n">
        <v>46193</v>
      </c>
      <c r="H445" s="9" t="n">
        <v>46225</v>
      </c>
      <c r="I445" s="4" t="inlineStr">
        <is>
          <t>Reopened</t>
        </is>
      </c>
      <c r="J445" s="4" t="inlineStr">
        <is>
          <t>GBP</t>
        </is>
      </c>
      <c r="K445" s="4" t="n">
        <v>55149.29</v>
      </c>
      <c r="L445" s="4" t="n">
        <v>8493.370000000001</v>
      </c>
      <c r="M445" s="4" t="n">
        <v>63642.66</v>
      </c>
      <c r="N445" s="4" t="inlineStr">
        <is>
          <t>OK</t>
        </is>
      </c>
    </row>
    <row r="446">
      <c r="A446" s="4" t="inlineStr">
        <is>
          <t>CLM-103101</t>
        </is>
      </c>
      <c r="B446" s="4" t="inlineStr">
        <is>
          <t>4578630</t>
        </is>
      </c>
      <c r="C446" s="4" t="inlineStr">
        <is>
          <t>Kestrel Foods Group</t>
        </is>
      </c>
      <c r="D446" s="9" t="n">
        <v>45865</v>
      </c>
      <c r="E446" s="9" t="n">
        <v>46229</v>
      </c>
      <c r="F446" s="4" t="n">
        <v>1000000</v>
      </c>
      <c r="G446" s="9" t="n">
        <v>46081</v>
      </c>
      <c r="H446" s="9" t="n">
        <v>46087</v>
      </c>
      <c r="I446" s="4" t="inlineStr">
        <is>
          <t>Open</t>
        </is>
      </c>
      <c r="J446" s="4" t="inlineStr">
        <is>
          <t>GBP</t>
        </is>
      </c>
      <c r="K446" s="4" t="n">
        <v>31778.39</v>
      </c>
      <c r="L446" s="4" t="n">
        <v>28542.85</v>
      </c>
      <c r="M446" s="4" t="n">
        <v>60321.24</v>
      </c>
      <c r="N446" s="4" t="inlineStr">
        <is>
          <t>OK</t>
        </is>
      </c>
    </row>
    <row r="447">
      <c r="A447" s="4" t="inlineStr">
        <is>
          <t>CLM-103108</t>
        </is>
      </c>
      <c r="B447" s="4" t="inlineStr">
        <is>
          <t>4652899</t>
        </is>
      </c>
      <c r="C447" s="4" t="inlineStr">
        <is>
          <t>Vale Garages Group</t>
        </is>
      </c>
      <c r="D447" s="9" t="n">
        <v>45902</v>
      </c>
      <c r="E447" s="9" t="n">
        <v>46266</v>
      </c>
      <c r="F447" s="4" t="n">
        <v>250000</v>
      </c>
      <c r="G447" s="9" t="n">
        <v>46092</v>
      </c>
      <c r="H447" s="9" t="n">
        <v>46099</v>
      </c>
      <c r="I447" s="4" t="inlineStr">
        <is>
          <t>Open</t>
        </is>
      </c>
      <c r="J447" s="4" t="inlineStr">
        <is>
          <t>USD</t>
        </is>
      </c>
      <c r="K447" s="4" t="n">
        <v>41450.37</v>
      </c>
      <c r="L447" s="4" t="n">
        <v>51847.03</v>
      </c>
      <c r="M447" s="4" t="n">
        <v>93297.39999999999</v>
      </c>
      <c r="N447" s="4" t="inlineStr">
        <is>
          <t>OK</t>
        </is>
      </c>
    </row>
    <row r="448">
      <c r="A448" s="4" t="inlineStr">
        <is>
          <t>CLM-103115</t>
        </is>
      </c>
      <c r="B448" s="4" t="inlineStr">
        <is>
          <t>4207153</t>
        </is>
      </c>
      <c r="C448" s="4" t="inlineStr">
        <is>
          <t>Hollis Textiles &amp; Sons</t>
        </is>
      </c>
      <c r="D448" s="9" t="n">
        <v>46010</v>
      </c>
      <c r="E448" s="9" t="n">
        <v>46374</v>
      </c>
      <c r="F448" s="4" t="n">
        <v>250000</v>
      </c>
      <c r="G448" s="9" t="n">
        <v>46190</v>
      </c>
      <c r="H448" s="9" t="n">
        <v>46195</v>
      </c>
      <c r="I448" s="4" t="inlineStr">
        <is>
          <t>Open</t>
        </is>
      </c>
      <c r="J448" s="4" t="inlineStr">
        <is>
          <t>GBP</t>
        </is>
      </c>
      <c r="K448" s="4" t="n">
        <v>14894.46</v>
      </c>
      <c r="L448" s="4" t="n">
        <v>12857.83</v>
      </c>
      <c r="M448" s="4" t="n">
        <v>27752.29</v>
      </c>
      <c r="N448" s="4" t="inlineStr">
        <is>
          <t>OK</t>
        </is>
      </c>
    </row>
    <row r="449">
      <c r="A449" s="4" t="inlineStr">
        <is>
          <t>CLM-103122</t>
        </is>
      </c>
      <c r="B449" s="4" t="inlineStr">
        <is>
          <t>4759917</t>
        </is>
      </c>
      <c r="C449" s="4" t="inlineStr">
        <is>
          <t>Upton Florists Limited</t>
        </is>
      </c>
      <c r="D449" s="9" t="n">
        <v>45874</v>
      </c>
      <c r="E449" s="9" t="n">
        <v>46238</v>
      </c>
      <c r="F449" s="4" t="n">
        <v>500000</v>
      </c>
      <c r="G449" s="9" t="n">
        <v>46191</v>
      </c>
      <c r="H449" s="9" t="n">
        <v>46200</v>
      </c>
      <c r="I449" s="4" t="inlineStr">
        <is>
          <t>Open</t>
        </is>
      </c>
      <c r="J449" s="4" t="inlineStr">
        <is>
          <t>EUR</t>
        </is>
      </c>
      <c r="K449" s="4" t="n">
        <v>52249</v>
      </c>
      <c r="L449" s="4" t="n">
        <v>55146.57</v>
      </c>
      <c r="M449" s="4" t="n">
        <v>107395.57</v>
      </c>
      <c r="N449" s="4" t="inlineStr">
        <is>
          <t>OK</t>
        </is>
      </c>
    </row>
    <row r="450">
      <c r="A450" s="4" t="inlineStr">
        <is>
          <t>CLM-103129</t>
        </is>
      </c>
      <c r="B450" s="4" t="inlineStr">
        <is>
          <t>4683449</t>
        </is>
      </c>
      <c r="C450" s="4" t="inlineStr">
        <is>
          <t>Calder Dental plc</t>
        </is>
      </c>
      <c r="D450" s="9" t="n">
        <v>45975</v>
      </c>
      <c r="E450" s="9" t="n">
        <v>46339</v>
      </c>
      <c r="F450" s="4" t="n">
        <v>100000</v>
      </c>
      <c r="G450" s="9" t="n">
        <v>46039</v>
      </c>
      <c r="H450" s="9" t="n">
        <v>46053</v>
      </c>
      <c r="I450" s="4" t="inlineStr">
        <is>
          <t>Open</t>
        </is>
      </c>
      <c r="J450" s="4" t="inlineStr">
        <is>
          <t>EUR</t>
        </is>
      </c>
      <c r="K450" s="4" t="n">
        <v>20637.05</v>
      </c>
      <c r="L450" s="4" t="n">
        <v>4543.84</v>
      </c>
      <c r="M450" s="4" t="n">
        <v>25180.89</v>
      </c>
      <c r="N450" s="4" t="inlineStr">
        <is>
          <t>OK</t>
        </is>
      </c>
    </row>
    <row r="451">
      <c r="A451" s="4" t="inlineStr">
        <is>
          <t>CLM-103136</t>
        </is>
      </c>
      <c r="B451" s="4" t="inlineStr">
        <is>
          <t>4206724</t>
        </is>
      </c>
      <c r="C451" s="4" t="inlineStr">
        <is>
          <t>Ashby Logistics plc</t>
        </is>
      </c>
      <c r="D451" s="9" t="n">
        <v>45757</v>
      </c>
      <c r="E451" s="9" t="n">
        <v>46121</v>
      </c>
      <c r="F451" s="4" t="n">
        <v>100000</v>
      </c>
      <c r="G451" s="9" t="n">
        <v>45929</v>
      </c>
      <c r="H451" s="9" t="n">
        <v>45958</v>
      </c>
      <c r="I451" s="4" t="inlineStr">
        <is>
          <t>Open</t>
        </is>
      </c>
      <c r="J451" s="4" t="inlineStr">
        <is>
          <t>USD</t>
        </is>
      </c>
      <c r="K451" s="4" t="n">
        <v>23303.47</v>
      </c>
      <c r="L451" s="4" t="n">
        <v>2113.22</v>
      </c>
      <c r="M451" s="4" t="n">
        <v>25416.69</v>
      </c>
      <c r="N451" s="4" t="inlineStr">
        <is>
          <t>OK</t>
        </is>
      </c>
    </row>
    <row r="452">
      <c r="A452" s="4" t="inlineStr">
        <is>
          <t>CLM-103143</t>
        </is>
      </c>
      <c r="B452" s="4" t="inlineStr">
        <is>
          <t>4616910</t>
        </is>
      </c>
      <c r="C452" s="4" t="inlineStr">
        <is>
          <t>Calder Textiles &amp; Sons</t>
        </is>
      </c>
      <c r="D452" s="9" t="n">
        <v>45830</v>
      </c>
      <c r="E452" s="9" t="n">
        <v>46194</v>
      </c>
      <c r="F452" s="4" t="n">
        <v>500000</v>
      </c>
      <c r="G452" s="9" t="n">
        <v>46120</v>
      </c>
      <c r="H452" s="9" t="n">
        <v>46121</v>
      </c>
      <c r="I452" s="4" t="inlineStr">
        <is>
          <t>Open</t>
        </is>
      </c>
      <c r="J452" s="4" t="inlineStr">
        <is>
          <t>USD</t>
        </is>
      </c>
      <c r="K452" s="4" t="n">
        <v>35529.77</v>
      </c>
      <c r="L452" s="4" t="n">
        <v>2421.36</v>
      </c>
      <c r="M452" s="4" t="n">
        <v>37951.13</v>
      </c>
      <c r="N452" s="4" t="inlineStr">
        <is>
          <t>OK</t>
        </is>
      </c>
    </row>
    <row r="453">
      <c r="A453" s="4" t="inlineStr">
        <is>
          <t>CLM-103150</t>
        </is>
      </c>
      <c r="B453" s="4" t="inlineStr">
        <is>
          <t>4299711</t>
        </is>
      </c>
      <c r="C453" s="4" t="inlineStr">
        <is>
          <t>Juniper Joinery Limited</t>
        </is>
      </c>
      <c r="D453" s="9" t="n">
        <v>45786</v>
      </c>
      <c r="E453" s="9" t="n">
        <v>46150</v>
      </c>
      <c r="F453" s="4" t="n">
        <v>1000000</v>
      </c>
      <c r="G453" s="9" t="n">
        <v>45869</v>
      </c>
      <c r="H453" s="9" t="n">
        <v>45900</v>
      </c>
      <c r="I453" s="4" t="inlineStr">
        <is>
          <t>Reopened</t>
        </is>
      </c>
      <c r="J453" s="4" t="inlineStr">
        <is>
          <t>GBP</t>
        </is>
      </c>
      <c r="K453" s="4" t="n">
        <v>9762.27</v>
      </c>
      <c r="L453" s="4" t="n">
        <v>17831.06</v>
      </c>
      <c r="M453" s="4" t="n">
        <v>27593.33</v>
      </c>
      <c r="N453" s="4" t="inlineStr">
        <is>
          <t>OK</t>
        </is>
      </c>
    </row>
    <row r="454">
      <c r="A454" s="4" t="inlineStr">
        <is>
          <t>CLM-103157</t>
        </is>
      </c>
      <c r="B454" s="4" t="inlineStr">
        <is>
          <t>4002473</t>
        </is>
      </c>
      <c r="C454" s="4" t="inlineStr">
        <is>
          <t>Merrow Builders Group</t>
        </is>
      </c>
      <c r="D454" s="9" t="n">
        <v>45771</v>
      </c>
      <c r="E454" s="9" t="n">
        <v>46135</v>
      </c>
      <c r="F454" s="4" t="n">
        <v>250000</v>
      </c>
      <c r="G454" s="9" t="n">
        <v>45937</v>
      </c>
      <c r="H454" s="9" t="n">
        <v>45956</v>
      </c>
      <c r="I454" s="4" t="inlineStr">
        <is>
          <t>Open</t>
        </is>
      </c>
      <c r="J454" s="4" t="inlineStr">
        <is>
          <t>GBP</t>
        </is>
      </c>
      <c r="K454" s="4" t="n">
        <v>3444.14</v>
      </c>
      <c r="L454" s="4" t="n">
        <v>74549.86</v>
      </c>
      <c r="M454" s="4" t="n">
        <v>77994</v>
      </c>
      <c r="N454" s="4" t="inlineStr">
        <is>
          <t>OK</t>
        </is>
      </c>
    </row>
    <row r="455">
      <c r="A455" s="4" t="inlineStr">
        <is>
          <t>CLM-103164</t>
        </is>
      </c>
      <c r="B455" s="4" t="inlineStr">
        <is>
          <t>4630555</t>
        </is>
      </c>
      <c r="C455" s="4" t="inlineStr">
        <is>
          <t>Selby Joinery Ltd</t>
        </is>
      </c>
      <c r="D455" s="9" t="n">
        <v>45733</v>
      </c>
      <c r="E455" s="9" t="n">
        <v>46097</v>
      </c>
      <c r="F455" s="4" t="n">
        <v>250000</v>
      </c>
      <c r="G455" s="9" t="n">
        <v>46002</v>
      </c>
      <c r="H455" s="9" t="n">
        <v>46026</v>
      </c>
      <c r="I455" s="4" t="inlineStr">
        <is>
          <t>Open</t>
        </is>
      </c>
      <c r="J455" s="4" t="inlineStr">
        <is>
          <t>EUR</t>
        </is>
      </c>
      <c r="K455" s="4" t="n">
        <v>58583.68</v>
      </c>
      <c r="L455" s="4" t="n">
        <v>34539.79</v>
      </c>
      <c r="M455" s="4" t="n">
        <v>93123.47</v>
      </c>
      <c r="N455" s="4" t="inlineStr">
        <is>
          <t>OK</t>
        </is>
      </c>
    </row>
    <row r="456">
      <c r="A456" s="4" t="inlineStr">
        <is>
          <t>CLM-103171</t>
        </is>
      </c>
      <c r="B456" s="4" t="inlineStr">
        <is>
          <t>4402306</t>
        </is>
      </c>
      <c r="C456" s="4" t="inlineStr">
        <is>
          <t>Pembroke Haulage &amp; Sons</t>
        </is>
      </c>
      <c r="D456" s="9" t="n">
        <v>45727</v>
      </c>
      <c r="E456" s="9" t="n">
        <v>46091</v>
      </c>
      <c r="F456" s="4" t="n">
        <v>100000</v>
      </c>
      <c r="G456" s="9" t="n">
        <v>45842</v>
      </c>
      <c r="H456" s="9" t="n">
        <v>45876</v>
      </c>
      <c r="I456" s="4" t="inlineStr">
        <is>
          <t>Reopened</t>
        </is>
      </c>
      <c r="J456" s="4" t="inlineStr">
        <is>
          <t>EUR</t>
        </is>
      </c>
      <c r="K456" s="4" t="n">
        <v>40035.72</v>
      </c>
      <c r="L456" s="4" t="n">
        <v>8341.49</v>
      </c>
      <c r="M456" s="4" t="n">
        <v>48377.21</v>
      </c>
      <c r="N456" s="4" t="inlineStr">
        <is>
          <t>OK</t>
        </is>
      </c>
    </row>
    <row r="457">
      <c r="A457" s="4" t="inlineStr">
        <is>
          <t>CLM-103178</t>
        </is>
      </c>
      <c r="B457" s="4" t="inlineStr">
        <is>
          <t>4081542</t>
        </is>
      </c>
      <c r="C457" s="4" t="inlineStr">
        <is>
          <t>Oakham Engineering plc</t>
        </is>
      </c>
      <c r="D457" s="9" t="n">
        <v>45763</v>
      </c>
      <c r="E457" s="9" t="n">
        <v>46127</v>
      </c>
      <c r="F457" s="4" t="n">
        <v>100000</v>
      </c>
      <c r="G457" s="9" t="n">
        <v>45966</v>
      </c>
      <c r="H457" s="9" t="n">
        <v>45988</v>
      </c>
      <c r="I457" s="4" t="inlineStr">
        <is>
          <t>Open</t>
        </is>
      </c>
      <c r="J457" s="4" t="inlineStr">
        <is>
          <t>EUR</t>
        </is>
      </c>
      <c r="K457" s="4" t="n">
        <v>10154.48</v>
      </c>
      <c r="L457" s="4" t="n">
        <v>27404.41</v>
      </c>
      <c r="M457" s="4" t="n">
        <v>37558.89</v>
      </c>
      <c r="N457" s="4" t="inlineStr">
        <is>
          <t>OK</t>
        </is>
      </c>
    </row>
    <row r="458">
      <c r="A458" s="4" t="inlineStr">
        <is>
          <t>CLM-103185</t>
        </is>
      </c>
      <c r="B458" s="4" t="inlineStr">
        <is>
          <t>4126997</t>
        </is>
      </c>
      <c r="C458" s="4" t="inlineStr">
        <is>
          <t>Thornbury Print plc</t>
        </is>
      </c>
      <c r="D458" s="9" t="n">
        <v>45912</v>
      </c>
      <c r="E458" s="9" t="n">
        <v>46276</v>
      </c>
      <c r="F458" s="4" t="n">
        <v>250000</v>
      </c>
      <c r="G458" s="9" t="n">
        <v>46090</v>
      </c>
      <c r="H458" s="9" t="n">
        <v>46113</v>
      </c>
      <c r="I458" s="4" t="inlineStr">
        <is>
          <t>Open</t>
        </is>
      </c>
      <c r="J458" s="4" t="inlineStr">
        <is>
          <t>USD</t>
        </is>
      </c>
      <c r="K458" s="4" t="n">
        <v>26451.11</v>
      </c>
      <c r="L458" s="4" t="n">
        <v>36367.57</v>
      </c>
      <c r="M458" s="6" t="n">
        <v>58702.08</v>
      </c>
      <c r="N458" s="6" t="inlineStr">
        <is>
          <t>Error: Total incurred does not reconcile: total incurred=58,702.08 but paid to date 26,451.11 + reserve 36,367.57 = 62,818.68 (no fee columns in this file: checked as nil fees; if the total includes fees the difference may be fees).</t>
        </is>
      </c>
    </row>
    <row r="459">
      <c r="A459" s="4" t="inlineStr">
        <is>
          <t>CLM-103192</t>
        </is>
      </c>
      <c r="B459" s="4" t="inlineStr">
        <is>
          <t>4148358</t>
        </is>
      </c>
      <c r="C459" s="4" t="inlineStr">
        <is>
          <t>Selby Haulage plc</t>
        </is>
      </c>
      <c r="D459" s="9" t="n">
        <v>45935</v>
      </c>
      <c r="E459" s="9" t="n">
        <v>46299</v>
      </c>
      <c r="F459" s="4" t="n">
        <v>250000</v>
      </c>
      <c r="G459" s="9" t="n">
        <v>46008</v>
      </c>
      <c r="H459" s="9" t="n">
        <v>46011</v>
      </c>
      <c r="I459" s="4" t="inlineStr">
        <is>
          <t>Closed</t>
        </is>
      </c>
      <c r="J459" s="4" t="inlineStr">
        <is>
          <t>GBP</t>
        </is>
      </c>
      <c r="K459" s="4" t="n">
        <v>16228.69</v>
      </c>
      <c r="L459" s="4" t="n">
        <v>0</v>
      </c>
      <c r="M459" s="4" t="n">
        <v>16228.69</v>
      </c>
      <c r="N459" s="4" t="inlineStr">
        <is>
          <t>OK</t>
        </is>
      </c>
    </row>
    <row r="460">
      <c r="A460" s="4" t="inlineStr">
        <is>
          <t>CLM-103199</t>
        </is>
      </c>
      <c r="B460" s="4" t="inlineStr">
        <is>
          <t>4658162</t>
        </is>
      </c>
      <c r="C460" s="4" t="inlineStr">
        <is>
          <t>Fenwick Hotels Limited</t>
        </is>
      </c>
      <c r="D460" s="9" t="n">
        <v>45979</v>
      </c>
      <c r="E460" s="9" t="n">
        <v>46343</v>
      </c>
      <c r="F460" s="4" t="n">
        <v>250000</v>
      </c>
      <c r="G460" s="9" t="n">
        <v>46212</v>
      </c>
      <c r="H460" s="9" t="n">
        <v>46249</v>
      </c>
      <c r="I460" s="4" t="inlineStr">
        <is>
          <t>Closed</t>
        </is>
      </c>
      <c r="J460" s="4" t="inlineStr">
        <is>
          <t>GBP</t>
        </is>
      </c>
      <c r="K460" s="4" t="n">
        <v>50320.04</v>
      </c>
      <c r="L460" s="4" t="n">
        <v>0</v>
      </c>
      <c r="M460" s="4" t="n">
        <v>50320.04</v>
      </c>
      <c r="N460" s="4" t="inlineStr">
        <is>
          <t>OK</t>
        </is>
      </c>
    </row>
    <row r="461">
      <c r="A461" s="4" t="inlineStr">
        <is>
          <t>CLM-103206</t>
        </is>
      </c>
      <c r="B461" s="4" t="inlineStr">
        <is>
          <t>4493802</t>
        </is>
      </c>
      <c r="C461" s="4" t="inlineStr">
        <is>
          <t>Kestrel Garages plc</t>
        </is>
      </c>
      <c r="D461" s="9" t="n">
        <v>45774</v>
      </c>
      <c r="E461" s="9" t="n">
        <v>46138</v>
      </c>
      <c r="F461" s="4" t="n">
        <v>1000000</v>
      </c>
      <c r="G461" s="9" t="n">
        <v>46089</v>
      </c>
      <c r="H461" s="9" t="n">
        <v>46095</v>
      </c>
      <c r="I461" s="4" t="inlineStr">
        <is>
          <t>Open</t>
        </is>
      </c>
      <c r="J461" s="4" t="inlineStr">
        <is>
          <t>GBP</t>
        </is>
      </c>
      <c r="K461" s="4" t="n">
        <v>51112.44</v>
      </c>
      <c r="L461" s="4" t="n">
        <v>21242.89</v>
      </c>
      <c r="M461" s="4" t="n">
        <v>72355.33</v>
      </c>
      <c r="N461" s="4" t="inlineStr">
        <is>
          <t>OK</t>
        </is>
      </c>
    </row>
    <row r="462">
      <c r="A462" s="4" t="inlineStr">
        <is>
          <t>CLM-103213</t>
        </is>
      </c>
      <c r="B462" s="4" t="inlineStr">
        <is>
          <t>4485616</t>
        </is>
      </c>
      <c r="C462" s="4" t="inlineStr">
        <is>
          <t>Brennan Builders plc</t>
        </is>
      </c>
      <c r="D462" s="9" t="n">
        <v>45711</v>
      </c>
      <c r="E462" s="9" t="n">
        <v>46075</v>
      </c>
      <c r="F462" s="4" t="n">
        <v>250000</v>
      </c>
      <c r="G462" s="9" t="n">
        <v>45833</v>
      </c>
      <c r="H462" s="9" t="n">
        <v>45843</v>
      </c>
      <c r="I462" s="4" t="inlineStr">
        <is>
          <t>Open</t>
        </is>
      </c>
      <c r="J462" s="4" t="inlineStr">
        <is>
          <t>GBP</t>
        </is>
      </c>
      <c r="K462" s="4" t="n">
        <v>12872.08</v>
      </c>
      <c r="L462" s="4" t="n">
        <v>39334.83</v>
      </c>
      <c r="M462" s="4" t="n">
        <v>52206.91</v>
      </c>
      <c r="N462" s="4" t="inlineStr">
        <is>
          <t>OK</t>
        </is>
      </c>
    </row>
    <row r="463">
      <c r="A463" s="4" t="inlineStr">
        <is>
          <t>CLM-103220</t>
        </is>
      </c>
      <c r="B463" s="4" t="inlineStr">
        <is>
          <t>4391726</t>
        </is>
      </c>
      <c r="C463" s="4" t="inlineStr">
        <is>
          <t>Pembroke Textiles Limited</t>
        </is>
      </c>
      <c r="D463" s="9" t="n">
        <v>45678</v>
      </c>
      <c r="E463" s="9" t="n">
        <v>46042</v>
      </c>
      <c r="F463" s="4" t="n">
        <v>1000000</v>
      </c>
      <c r="G463" s="9" t="n">
        <v>45954</v>
      </c>
      <c r="H463" s="9" t="n">
        <v>45981</v>
      </c>
      <c r="I463" s="4" t="inlineStr">
        <is>
          <t>Closed</t>
        </is>
      </c>
      <c r="J463" s="4" t="inlineStr">
        <is>
          <t>GBP</t>
        </is>
      </c>
      <c r="K463" s="4" t="n">
        <v>1811.36</v>
      </c>
      <c r="L463" s="4" t="n">
        <v>0</v>
      </c>
      <c r="M463" s="4" t="n">
        <v>1811.36</v>
      </c>
      <c r="N463" s="4" t="inlineStr">
        <is>
          <t>OK</t>
        </is>
      </c>
    </row>
    <row r="464">
      <c r="A464" s="4" t="inlineStr">
        <is>
          <t>CLM-103227</t>
        </is>
      </c>
      <c r="B464" s="4" t="inlineStr">
        <is>
          <t>4710431</t>
        </is>
      </c>
      <c r="C464" s="4" t="inlineStr">
        <is>
          <t>Oakham Foods Ltd</t>
        </is>
      </c>
      <c r="D464" s="9" t="n">
        <v>45964</v>
      </c>
      <c r="E464" s="9" t="n">
        <v>46328</v>
      </c>
      <c r="F464" s="4" t="n">
        <v>250000</v>
      </c>
      <c r="G464" s="9" t="n">
        <v>46179</v>
      </c>
      <c r="H464" s="9" t="n">
        <v>46219</v>
      </c>
      <c r="I464" s="4" t="inlineStr">
        <is>
          <t>Open</t>
        </is>
      </c>
      <c r="J464" s="4" t="inlineStr">
        <is>
          <t>GBP</t>
        </is>
      </c>
      <c r="K464" s="4" t="n">
        <v>15291.26</v>
      </c>
      <c r="L464" s="4" t="n">
        <v>16833.24</v>
      </c>
      <c r="M464" s="4" t="n">
        <v>32124.5</v>
      </c>
      <c r="N464" s="4" t="inlineStr">
        <is>
          <t>OK</t>
        </is>
      </c>
    </row>
    <row r="465">
      <c r="A465" s="4" t="inlineStr">
        <is>
          <t>CLM-103234</t>
        </is>
      </c>
      <c r="B465" s="4" t="inlineStr">
        <is>
          <t>4740211</t>
        </is>
      </c>
      <c r="C465" s="4" t="inlineStr">
        <is>
          <t>Brennan Electrical Ltd</t>
        </is>
      </c>
      <c r="D465" s="9" t="n">
        <v>45800</v>
      </c>
      <c r="E465" s="9" t="n">
        <v>46164</v>
      </c>
      <c r="F465" s="4" t="n">
        <v>1000000</v>
      </c>
      <c r="G465" s="9" t="n">
        <v>45842</v>
      </c>
      <c r="H465" s="9" t="n">
        <v>45851</v>
      </c>
      <c r="I465" s="4" t="inlineStr">
        <is>
          <t>Closed</t>
        </is>
      </c>
      <c r="J465" s="4" t="inlineStr">
        <is>
          <t>USD</t>
        </is>
      </c>
      <c r="K465" s="4" t="n">
        <v>37929.43</v>
      </c>
      <c r="L465" s="4" t="n">
        <v>0</v>
      </c>
      <c r="M465" s="4" t="n">
        <v>37929.43</v>
      </c>
      <c r="N465" s="4" t="inlineStr">
        <is>
          <t>OK</t>
        </is>
      </c>
    </row>
    <row r="466">
      <c r="A466" s="4" t="inlineStr">
        <is>
          <t>CLM-103241</t>
        </is>
      </c>
      <c r="B466" s="4" t="inlineStr">
        <is>
          <t>4416520</t>
        </is>
      </c>
      <c r="C466" s="4" t="inlineStr">
        <is>
          <t>Hollis Print Group</t>
        </is>
      </c>
      <c r="D466" s="9" t="n">
        <v>45733</v>
      </c>
      <c r="E466" s="9" t="n">
        <v>46097</v>
      </c>
      <c r="F466" s="4" t="n">
        <v>500000</v>
      </c>
      <c r="G466" s="9" t="n">
        <v>45894</v>
      </c>
      <c r="H466" s="9" t="n">
        <v>45896</v>
      </c>
      <c r="I466" s="4" t="inlineStr">
        <is>
          <t>Open</t>
        </is>
      </c>
      <c r="J466" s="4" t="inlineStr">
        <is>
          <t>EUR</t>
        </is>
      </c>
      <c r="K466" s="4" t="n">
        <v>25261.75</v>
      </c>
      <c r="L466" s="4" t="n">
        <v>1356.02</v>
      </c>
      <c r="M466" s="4" t="n">
        <v>26617.77</v>
      </c>
      <c r="N466" s="4" t="inlineStr">
        <is>
          <t>OK</t>
        </is>
      </c>
    </row>
    <row r="467">
      <c r="A467" s="4" t="inlineStr">
        <is>
          <t>CLM-103248</t>
        </is>
      </c>
      <c r="B467" s="4" t="inlineStr">
        <is>
          <t>4158852</t>
        </is>
      </c>
      <c r="C467" s="4" t="inlineStr">
        <is>
          <t>Norland Print Group</t>
        </is>
      </c>
      <c r="D467" s="9" t="n">
        <v>45767</v>
      </c>
      <c r="E467" s="9" t="n">
        <v>46131</v>
      </c>
      <c r="F467" s="4" t="n">
        <v>500000</v>
      </c>
      <c r="G467" s="9" t="n">
        <v>45954</v>
      </c>
      <c r="H467" s="9" t="n">
        <v>45977</v>
      </c>
      <c r="I467" s="4" t="inlineStr">
        <is>
          <t>Closed</t>
        </is>
      </c>
      <c r="J467" s="4" t="inlineStr">
        <is>
          <t>GBP</t>
        </is>
      </c>
      <c r="K467" s="4" t="n">
        <v>6290.64</v>
      </c>
      <c r="L467" s="4" t="n">
        <v>0</v>
      </c>
      <c r="M467" s="4" t="n">
        <v>6290.64</v>
      </c>
      <c r="N467" s="4" t="inlineStr">
        <is>
          <t>OK</t>
        </is>
      </c>
    </row>
    <row r="468">
      <c r="A468" s="4" t="inlineStr">
        <is>
          <t>CLM-103255</t>
        </is>
      </c>
      <c r="B468" s="4" t="inlineStr">
        <is>
          <t>4262574</t>
        </is>
      </c>
      <c r="C468" s="4" t="inlineStr">
        <is>
          <t>Merrow Bakery Limited</t>
        </is>
      </c>
      <c r="D468" s="9" t="n">
        <v>45848</v>
      </c>
      <c r="E468" s="9" t="n">
        <v>46212</v>
      </c>
      <c r="F468" s="4" t="n">
        <v>1000000</v>
      </c>
      <c r="G468" s="9" t="n">
        <v>45875</v>
      </c>
      <c r="H468" s="9" t="n">
        <v>45911</v>
      </c>
      <c r="I468" s="4" t="inlineStr">
        <is>
          <t>Open</t>
        </is>
      </c>
      <c r="J468" s="4" t="inlineStr">
        <is>
          <t>GBP</t>
        </is>
      </c>
      <c r="K468" s="4" t="n">
        <v>31713.76</v>
      </c>
      <c r="L468" s="4" t="n">
        <v>65028.07</v>
      </c>
      <c r="M468" s="4" t="n">
        <v>96741.83</v>
      </c>
      <c r="N468" s="4" t="inlineStr">
        <is>
          <t>OK</t>
        </is>
      </c>
    </row>
    <row r="469">
      <c r="A469" s="4" t="inlineStr">
        <is>
          <t>CLM-103262</t>
        </is>
      </c>
      <c r="B469" s="4" t="inlineStr">
        <is>
          <t>4329015</t>
        </is>
      </c>
      <c r="C469" s="4" t="inlineStr">
        <is>
          <t>Westbury Print Group</t>
        </is>
      </c>
      <c r="D469" s="9" t="n">
        <v>45873</v>
      </c>
      <c r="E469" s="9" t="n">
        <v>46237</v>
      </c>
      <c r="F469" s="4" t="n">
        <v>500000</v>
      </c>
      <c r="G469" s="9" t="n">
        <v>46106</v>
      </c>
      <c r="H469" s="9" t="n">
        <v>46144</v>
      </c>
      <c r="I469" s="4" t="inlineStr">
        <is>
          <t>Open</t>
        </is>
      </c>
      <c r="J469" s="4" t="inlineStr">
        <is>
          <t>EUR</t>
        </is>
      </c>
      <c r="K469" s="4" t="n">
        <v>57525.19</v>
      </c>
      <c r="L469" s="4" t="n">
        <v>61092.06</v>
      </c>
      <c r="M469" s="4" t="n">
        <v>118617.25</v>
      </c>
      <c r="N469" s="4" t="inlineStr">
        <is>
          <t>OK</t>
        </is>
      </c>
    </row>
    <row r="470">
      <c r="A470" s="4" t="inlineStr">
        <is>
          <t>CLM-103269</t>
        </is>
      </c>
      <c r="B470" s="4" t="inlineStr">
        <is>
          <t>4392325</t>
        </is>
      </c>
      <c r="C470" s="4" t="inlineStr">
        <is>
          <t>Thornbury Engineering Ltd</t>
        </is>
      </c>
      <c r="D470" s="9" t="n">
        <v>46013</v>
      </c>
      <c r="E470" s="9" t="n">
        <v>46377</v>
      </c>
      <c r="F470" s="4" t="n">
        <v>100000</v>
      </c>
      <c r="G470" s="9" t="n">
        <v>46076</v>
      </c>
      <c r="H470" s="9" t="n">
        <v>46079</v>
      </c>
      <c r="I470" s="4" t="inlineStr">
        <is>
          <t>Closed</t>
        </is>
      </c>
      <c r="J470" s="4" t="inlineStr">
        <is>
          <t>GBP</t>
        </is>
      </c>
      <c r="K470" s="4" t="n">
        <v>17591.99</v>
      </c>
      <c r="L470" s="4" t="n">
        <v>0</v>
      </c>
      <c r="M470" s="4" t="n">
        <v>17591.99</v>
      </c>
      <c r="N470" s="4" t="inlineStr">
        <is>
          <t>OK</t>
        </is>
      </c>
    </row>
    <row r="471">
      <c r="A471" s="4" t="inlineStr">
        <is>
          <t>CLM-103276</t>
        </is>
      </c>
      <c r="B471" s="4" t="inlineStr">
        <is>
          <t>4712110</t>
        </is>
      </c>
      <c r="C471" s="4" t="inlineStr">
        <is>
          <t>Thornbury Dental Ltd</t>
        </is>
      </c>
      <c r="D471" s="9" t="n">
        <v>45901</v>
      </c>
      <c r="E471" s="9" t="n">
        <v>46265</v>
      </c>
      <c r="F471" s="4" t="n">
        <v>1000000</v>
      </c>
      <c r="G471" s="9" t="n">
        <v>46183</v>
      </c>
      <c r="H471" s="9" t="n">
        <v>46184</v>
      </c>
      <c r="I471" s="4" t="inlineStr">
        <is>
          <t>Open</t>
        </is>
      </c>
      <c r="J471" s="4" t="inlineStr">
        <is>
          <t>GBP</t>
        </is>
      </c>
      <c r="K471" s="4" t="n">
        <v>4537.34</v>
      </c>
      <c r="L471" s="4" t="n">
        <v>41705.32</v>
      </c>
      <c r="M471" s="4" t="n">
        <v>46242.66</v>
      </c>
      <c r="N471" s="4" t="inlineStr">
        <is>
          <t>OK</t>
        </is>
      </c>
    </row>
    <row r="472">
      <c r="A472" s="4" t="inlineStr">
        <is>
          <t>CLM-103283</t>
        </is>
      </c>
      <c r="B472" s="4" t="inlineStr">
        <is>
          <t>4880759</t>
        </is>
      </c>
      <c r="C472" s="4" t="inlineStr">
        <is>
          <t>Hollis Garages &amp; Sons</t>
        </is>
      </c>
      <c r="D472" s="9" t="n">
        <v>45690</v>
      </c>
      <c r="E472" s="9" t="n">
        <v>46054</v>
      </c>
      <c r="F472" s="4" t="n">
        <v>1000000</v>
      </c>
      <c r="G472" s="9" t="n">
        <v>45854</v>
      </c>
      <c r="H472" s="9" t="n">
        <v>45877</v>
      </c>
      <c r="I472" s="4" t="inlineStr">
        <is>
          <t>Closed</t>
        </is>
      </c>
      <c r="J472" s="4" t="inlineStr">
        <is>
          <t>GBP</t>
        </is>
      </c>
      <c r="K472" s="4" t="n">
        <v>31618.26</v>
      </c>
      <c r="L472" s="4" t="n">
        <v>0</v>
      </c>
      <c r="M472" s="4" t="n">
        <v>31618.26</v>
      </c>
      <c r="N472" s="4" t="inlineStr">
        <is>
          <t>OK</t>
        </is>
      </c>
    </row>
    <row r="473">
      <c r="A473" s="4" t="inlineStr">
        <is>
          <t>CLM-103290</t>
        </is>
      </c>
      <c r="B473" s="4" t="inlineStr">
        <is>
          <t>4629043</t>
        </is>
      </c>
      <c r="C473" s="4" t="inlineStr">
        <is>
          <t>Pembroke Electrical Ltd</t>
        </is>
      </c>
      <c r="D473" s="9" t="n">
        <v>45704</v>
      </c>
      <c r="E473" s="9" t="n">
        <v>46068</v>
      </c>
      <c r="F473" s="4" t="n">
        <v>500000</v>
      </c>
      <c r="G473" s="9" t="n">
        <v>45818</v>
      </c>
      <c r="H473" s="9" t="n">
        <v>45831</v>
      </c>
      <c r="I473" s="4" t="inlineStr">
        <is>
          <t>Closed</t>
        </is>
      </c>
      <c r="J473" s="4" t="inlineStr">
        <is>
          <t>GBP</t>
        </is>
      </c>
      <c r="K473" s="4" t="n">
        <v>14368.71</v>
      </c>
      <c r="L473" s="4" t="n">
        <v>0</v>
      </c>
      <c r="M473" s="4" t="n">
        <v>14368.71</v>
      </c>
      <c r="N473" s="4" t="inlineStr">
        <is>
          <t>OK</t>
        </is>
      </c>
    </row>
    <row r="474">
      <c r="A474" s="4" t="inlineStr">
        <is>
          <t>CLM-103297</t>
        </is>
      </c>
      <c r="B474" s="4" t="inlineStr">
        <is>
          <t>4663641</t>
        </is>
      </c>
      <c r="C474" s="4" t="inlineStr">
        <is>
          <t>Thornbury Builders LLP</t>
        </is>
      </c>
      <c r="D474" s="9" t="n">
        <v>45740</v>
      </c>
      <c r="E474" s="9" t="n">
        <v>46104</v>
      </c>
      <c r="F474" s="4" t="n">
        <v>250000</v>
      </c>
      <c r="G474" s="9" t="n">
        <v>45955</v>
      </c>
      <c r="H474" s="9" t="n">
        <v>45968</v>
      </c>
      <c r="I474" s="4" t="inlineStr">
        <is>
          <t>Open</t>
        </is>
      </c>
      <c r="J474" s="4" t="inlineStr">
        <is>
          <t>USD</t>
        </is>
      </c>
      <c r="K474" s="4" t="n">
        <v>4538.37</v>
      </c>
      <c r="L474" s="4" t="n">
        <v>42397.42</v>
      </c>
      <c r="M474" s="4" t="n">
        <v>46935.79</v>
      </c>
      <c r="N474" s="4" t="inlineStr">
        <is>
          <t>OK</t>
        </is>
      </c>
    </row>
    <row r="475">
      <c r="A475" s="4" t="inlineStr">
        <is>
          <t>CLM-103304</t>
        </is>
      </c>
      <c r="B475" s="4" t="inlineStr">
        <is>
          <t>4067525</t>
        </is>
      </c>
      <c r="C475" s="4" t="inlineStr">
        <is>
          <t>Upton Haulage Holdings</t>
        </is>
      </c>
      <c r="D475" s="9" t="n">
        <v>45785</v>
      </c>
      <c r="E475" s="9" t="n">
        <v>46149</v>
      </c>
      <c r="F475" s="4" t="n">
        <v>500000</v>
      </c>
      <c r="G475" s="9" t="n">
        <v>45857</v>
      </c>
      <c r="H475" s="9" t="n">
        <v>45865</v>
      </c>
      <c r="I475" s="4" t="inlineStr">
        <is>
          <t>Open</t>
        </is>
      </c>
      <c r="J475" s="4" t="inlineStr">
        <is>
          <t>USD</t>
        </is>
      </c>
      <c r="K475" s="4" t="n">
        <v>27737.95</v>
      </c>
      <c r="L475" s="4" t="n">
        <v>1010.9</v>
      </c>
      <c r="M475" s="4" t="n">
        <v>28748.85</v>
      </c>
      <c r="N475" s="4" t="inlineStr">
        <is>
          <t>OK</t>
        </is>
      </c>
    </row>
    <row r="476">
      <c r="A476" s="4" t="inlineStr">
        <is>
          <t>CLM-103311</t>
        </is>
      </c>
      <c r="B476" s="4" t="inlineStr">
        <is>
          <t>4888875</t>
        </is>
      </c>
      <c r="C476" s="4" t="inlineStr">
        <is>
          <t>Upton Motors plc</t>
        </is>
      </c>
      <c r="D476" s="9" t="n">
        <v>45786</v>
      </c>
      <c r="E476" s="9" t="n">
        <v>46150</v>
      </c>
      <c r="F476" s="4" t="n">
        <v>250000</v>
      </c>
      <c r="G476" s="9" t="n">
        <v>46113</v>
      </c>
      <c r="H476" s="9" t="n">
        <v>46132</v>
      </c>
      <c r="I476" s="4" t="inlineStr">
        <is>
          <t>Open</t>
        </is>
      </c>
      <c r="J476" s="4" t="inlineStr">
        <is>
          <t>GBP</t>
        </is>
      </c>
      <c r="K476" s="4" t="n">
        <v>5062.28</v>
      </c>
      <c r="L476" s="4" t="n">
        <v>62605.94</v>
      </c>
      <c r="M476" s="4" t="n">
        <v>67668.22</v>
      </c>
      <c r="N476" s="4" t="inlineStr">
        <is>
          <t>OK</t>
        </is>
      </c>
    </row>
    <row r="477">
      <c r="A477" s="4" t="inlineStr">
        <is>
          <t>CLM-103318</t>
        </is>
      </c>
      <c r="B477" s="4" t="inlineStr">
        <is>
          <t>4367774</t>
        </is>
      </c>
      <c r="C477" s="4" t="inlineStr">
        <is>
          <t>Thornbury Marine Holdings</t>
        </is>
      </c>
      <c r="D477" s="9" t="n">
        <v>45937</v>
      </c>
      <c r="E477" s="9" t="n">
        <v>46301</v>
      </c>
      <c r="F477" s="4" t="n">
        <v>250000</v>
      </c>
      <c r="G477" s="9" t="n">
        <v>46158</v>
      </c>
      <c r="H477" s="9" t="n">
        <v>46163</v>
      </c>
      <c r="I477" s="4" t="inlineStr">
        <is>
          <t>Closed</t>
        </is>
      </c>
      <c r="J477" s="4" t="inlineStr">
        <is>
          <t>USD</t>
        </is>
      </c>
      <c r="K477" s="4" t="n">
        <v>18198.4</v>
      </c>
      <c r="L477" s="4" t="n">
        <v>0</v>
      </c>
      <c r="M477" s="4" t="n">
        <v>18198.4</v>
      </c>
      <c r="N477" s="4" t="inlineStr">
        <is>
          <t>OK</t>
        </is>
      </c>
    </row>
    <row r="478">
      <c r="A478" s="4" t="inlineStr">
        <is>
          <t>CLM-103325</t>
        </is>
      </c>
      <c r="B478" s="4" t="inlineStr">
        <is>
          <t>4771430</t>
        </is>
      </c>
      <c r="C478" s="4" t="inlineStr">
        <is>
          <t>Fenwick Farms Group</t>
        </is>
      </c>
      <c r="D478" s="9" t="n">
        <v>46016</v>
      </c>
      <c r="E478" s="9" t="n">
        <v>46380</v>
      </c>
      <c r="F478" s="4" t="n">
        <v>500000</v>
      </c>
      <c r="G478" s="9" t="n">
        <v>46102</v>
      </c>
      <c r="H478" s="9" t="n">
        <v>46137</v>
      </c>
      <c r="I478" s="4" t="inlineStr">
        <is>
          <t>Open</t>
        </is>
      </c>
      <c r="J478" s="4" t="inlineStr">
        <is>
          <t>GBP</t>
        </is>
      </c>
      <c r="K478" s="4" t="n">
        <v>31948.4</v>
      </c>
      <c r="L478" s="4" t="n">
        <v>76408.11</v>
      </c>
      <c r="M478" s="4" t="n">
        <v>108356.51</v>
      </c>
      <c r="N478" s="4" t="inlineStr">
        <is>
          <t>OK</t>
        </is>
      </c>
    </row>
    <row r="479">
      <c r="A479" s="4" t="inlineStr">
        <is>
          <t>CLM-103332</t>
        </is>
      </c>
      <c r="B479" s="4" t="inlineStr">
        <is>
          <t>4782184</t>
        </is>
      </c>
      <c r="C479" s="4" t="inlineStr">
        <is>
          <t>Northcote Builders Limited</t>
        </is>
      </c>
      <c r="D479" s="9" t="n">
        <v>45967</v>
      </c>
      <c r="E479" s="9" t="n">
        <v>46331</v>
      </c>
      <c r="F479" s="4" t="n">
        <v>1000000</v>
      </c>
      <c r="G479" s="9" t="n">
        <v>46097</v>
      </c>
      <c r="H479" s="9" t="n">
        <v>46137</v>
      </c>
      <c r="I479" s="4" t="inlineStr">
        <is>
          <t>Closed</t>
        </is>
      </c>
      <c r="J479" s="4" t="inlineStr">
        <is>
          <t>GBP</t>
        </is>
      </c>
      <c r="K479" s="6" t="n">
        <v>19147.98</v>
      </c>
      <c r="L479" s="6" t="n">
        <v>-1841.16</v>
      </c>
      <c r="M479" s="4" t="n">
        <v>17306.82</v>
      </c>
      <c r="N479" s="6" t="inlineStr">
        <is>
          <t>Error: Negative reserve: reserve is -1,841.16; a reserve cannot be negative. | Error: Paid exceeds total incurred: paid to date 19,147.98 is more than total incurred 17,306.82.</t>
        </is>
      </c>
    </row>
    <row r="480">
      <c r="A480" s="4" t="inlineStr">
        <is>
          <t>CLM-103339</t>
        </is>
      </c>
      <c r="B480" s="4" t="inlineStr">
        <is>
          <t>4821807</t>
        </is>
      </c>
      <c r="C480" s="4" t="inlineStr">
        <is>
          <t>Harbour Joinery Group</t>
        </is>
      </c>
      <c r="D480" s="9" t="n">
        <v>45859</v>
      </c>
      <c r="E480" s="9" t="n">
        <v>46223</v>
      </c>
      <c r="F480" s="4" t="n">
        <v>1000000</v>
      </c>
      <c r="G480" s="9" t="n">
        <v>45896</v>
      </c>
      <c r="H480" s="9" t="n">
        <v>45930</v>
      </c>
      <c r="I480" s="4" t="inlineStr">
        <is>
          <t>Open</t>
        </is>
      </c>
      <c r="J480" s="4" t="inlineStr">
        <is>
          <t>GBP</t>
        </is>
      </c>
      <c r="K480" s="4" t="n">
        <v>19256.61</v>
      </c>
      <c r="L480" s="4" t="n">
        <v>73580.85000000001</v>
      </c>
      <c r="M480" s="6" t="n">
        <v>88638.39999999999</v>
      </c>
      <c r="N480" s="6" t="inlineStr">
        <is>
          <t>Error: Total incurred does not reconcile: total incurred=88,638.40 but paid to date 19,256.61 + reserve 73,580.85 = 92,837.46 (no fee columns in this file: checked as nil fees; if the total includes fees the difference may be fees).</t>
        </is>
      </c>
    </row>
    <row r="481">
      <c r="A481" s="4" t="inlineStr">
        <is>
          <t>CLM-103346</t>
        </is>
      </c>
      <c r="B481" s="4" t="inlineStr">
        <is>
          <t>4533171</t>
        </is>
      </c>
      <c r="C481" s="4" t="inlineStr">
        <is>
          <t>Hollis Electrical LLP</t>
        </is>
      </c>
      <c r="D481" s="9" t="n">
        <v>45668</v>
      </c>
      <c r="E481" s="9" t="n">
        <v>46032</v>
      </c>
      <c r="F481" s="4" t="n">
        <v>500000</v>
      </c>
      <c r="G481" s="9" t="n">
        <v>45816</v>
      </c>
      <c r="H481" s="9" t="n">
        <v>45817</v>
      </c>
      <c r="I481" s="4" t="inlineStr">
        <is>
          <t>Open</t>
        </is>
      </c>
      <c r="J481" s="4" t="inlineStr">
        <is>
          <t>GBP</t>
        </is>
      </c>
      <c r="K481" s="4" t="n">
        <v>42891.56</v>
      </c>
      <c r="L481" s="4" t="n">
        <v>32163.15</v>
      </c>
      <c r="M481" s="4" t="n">
        <v>75054.71000000001</v>
      </c>
      <c r="N481" s="4" t="inlineStr">
        <is>
          <t>OK</t>
        </is>
      </c>
    </row>
    <row r="482">
      <c r="A482" s="4" t="inlineStr">
        <is>
          <t>CLM-103353</t>
        </is>
      </c>
      <c r="B482" s="4" t="inlineStr">
        <is>
          <t>4355067</t>
        </is>
      </c>
      <c r="C482" s="4" t="inlineStr">
        <is>
          <t>Norland Freight Group</t>
        </is>
      </c>
      <c r="D482" s="9" t="n">
        <v>45713</v>
      </c>
      <c r="E482" s="9" t="n">
        <v>46077</v>
      </c>
      <c r="F482" s="4" t="n">
        <v>100000</v>
      </c>
      <c r="G482" s="9" t="n">
        <v>45718</v>
      </c>
      <c r="H482" s="9" t="n">
        <v>45723</v>
      </c>
      <c r="I482" s="4" t="inlineStr">
        <is>
          <t>Open</t>
        </is>
      </c>
      <c r="J482" s="4" t="inlineStr">
        <is>
          <t>GBP</t>
        </is>
      </c>
      <c r="K482" s="4" t="n">
        <v>10123.45</v>
      </c>
      <c r="L482" s="4" t="n">
        <v>25407.59</v>
      </c>
      <c r="M482" s="4" t="n">
        <v>35531.04</v>
      </c>
      <c r="N482" s="4" t="inlineStr">
        <is>
          <t>OK</t>
        </is>
      </c>
    </row>
    <row r="483">
      <c r="A483" s="4" t="inlineStr">
        <is>
          <t>CLM-103360</t>
        </is>
      </c>
      <c r="B483" s="4" t="inlineStr">
        <is>
          <t>4025265</t>
        </is>
      </c>
      <c r="C483" s="4" t="inlineStr">
        <is>
          <t>Inglewood Logistics plc</t>
        </is>
      </c>
      <c r="D483" s="9" t="n">
        <v>45835</v>
      </c>
      <c r="E483" s="9" t="n">
        <v>46199</v>
      </c>
      <c r="F483" s="4" t="n">
        <v>500000</v>
      </c>
      <c r="G483" s="9" t="n">
        <v>45951</v>
      </c>
      <c r="H483" s="9" t="n">
        <v>45978</v>
      </c>
      <c r="I483" s="4" t="inlineStr">
        <is>
          <t>Open</t>
        </is>
      </c>
      <c r="J483" s="4" t="inlineStr">
        <is>
          <t>GBP</t>
        </is>
      </c>
      <c r="K483" s="4" t="n">
        <v>51316.21</v>
      </c>
      <c r="L483" s="4" t="n">
        <v>69721.23</v>
      </c>
      <c r="M483" s="4" t="n">
        <v>121037.44</v>
      </c>
      <c r="N483" s="4" t="inlineStr">
        <is>
          <t>OK</t>
        </is>
      </c>
    </row>
    <row r="484">
      <c r="A484" s="4" t="inlineStr">
        <is>
          <t>CLM-103367</t>
        </is>
      </c>
      <c r="B484" s="4" t="inlineStr">
        <is>
          <t>4426075</t>
        </is>
      </c>
      <c r="C484" s="4" t="inlineStr">
        <is>
          <t>Yarrow Farms &amp; Sons</t>
        </is>
      </c>
      <c r="D484" s="9" t="n">
        <v>45666</v>
      </c>
      <c r="E484" s="9" t="n">
        <v>46030</v>
      </c>
      <c r="F484" s="4" t="n">
        <v>250000</v>
      </c>
      <c r="G484" s="9" t="n">
        <v>45739</v>
      </c>
      <c r="H484" s="9" t="n">
        <v>45743</v>
      </c>
      <c r="I484" s="4" t="inlineStr">
        <is>
          <t>Open</t>
        </is>
      </c>
      <c r="J484" s="4" t="inlineStr">
        <is>
          <t>USD</t>
        </is>
      </c>
      <c r="K484" s="4" t="n">
        <v>37826.59</v>
      </c>
      <c r="L484" s="4" t="n">
        <v>57551.75</v>
      </c>
      <c r="M484" s="4" t="n">
        <v>95378.34</v>
      </c>
      <c r="N484" s="4" t="inlineStr">
        <is>
          <t>OK</t>
        </is>
      </c>
    </row>
    <row r="485">
      <c r="A485" s="4" t="inlineStr">
        <is>
          <t>CLM-103374</t>
        </is>
      </c>
      <c r="B485" s="4" t="inlineStr">
        <is>
          <t>4717282</t>
        </is>
      </c>
      <c r="C485" s="4" t="inlineStr">
        <is>
          <t>Brennan Dental Limited</t>
        </is>
      </c>
      <c r="D485" s="9" t="n">
        <v>45670</v>
      </c>
      <c r="E485" s="9" t="n">
        <v>46034</v>
      </c>
      <c r="F485" s="4" t="n">
        <v>1000000</v>
      </c>
      <c r="G485" s="9" t="n">
        <v>45989</v>
      </c>
      <c r="H485" s="9" t="n">
        <v>45993</v>
      </c>
      <c r="I485" s="4" t="inlineStr">
        <is>
          <t>Closed</t>
        </is>
      </c>
      <c r="J485" s="4" t="inlineStr">
        <is>
          <t>GBP</t>
        </is>
      </c>
      <c r="K485" s="4" t="n">
        <v>54580.69</v>
      </c>
      <c r="L485" s="4" t="n">
        <v>0</v>
      </c>
      <c r="M485" s="4" t="n">
        <v>54580.69</v>
      </c>
      <c r="N485" s="4" t="inlineStr">
        <is>
          <t>OK</t>
        </is>
      </c>
    </row>
    <row r="486">
      <c r="A486" s="4" t="inlineStr">
        <is>
          <t>CLM-103381</t>
        </is>
      </c>
      <c r="B486" s="4" t="inlineStr">
        <is>
          <t>4532976</t>
        </is>
      </c>
      <c r="C486" s="4" t="inlineStr">
        <is>
          <t>Larkspur Pharmacy &amp; Sons</t>
        </is>
      </c>
      <c r="D486" s="9" t="n">
        <v>45966</v>
      </c>
      <c r="E486" s="9" t="n">
        <v>46330</v>
      </c>
      <c r="F486" s="4" t="n">
        <v>1000000</v>
      </c>
      <c r="G486" s="9" t="n">
        <v>46039</v>
      </c>
      <c r="H486" s="9" t="n">
        <v>46074</v>
      </c>
      <c r="I486" s="4" t="inlineStr">
        <is>
          <t>Reopened</t>
        </is>
      </c>
      <c r="J486" s="4" t="inlineStr">
        <is>
          <t>EUR</t>
        </is>
      </c>
      <c r="K486" s="4" t="n">
        <v>10467.06</v>
      </c>
      <c r="L486" s="4" t="n">
        <v>14128.46</v>
      </c>
      <c r="M486" s="4" t="n">
        <v>24595.52</v>
      </c>
      <c r="N486" s="4" t="inlineStr">
        <is>
          <t>OK</t>
        </is>
      </c>
    </row>
    <row r="487">
      <c r="A487" s="4" t="inlineStr">
        <is>
          <t>CLM-103388</t>
        </is>
      </c>
      <c r="B487" s="4" t="inlineStr">
        <is>
          <t>4715592</t>
        </is>
      </c>
      <c r="C487" s="4" t="inlineStr">
        <is>
          <t>Fenwick Builders LLP</t>
        </is>
      </c>
      <c r="D487" s="9" t="n">
        <v>45921</v>
      </c>
      <c r="E487" s="9" t="n">
        <v>46285</v>
      </c>
      <c r="F487" s="4" t="n">
        <v>100000</v>
      </c>
      <c r="G487" s="9" t="n">
        <v>45940</v>
      </c>
      <c r="H487" s="9" t="n">
        <v>45967</v>
      </c>
      <c r="I487" s="4" t="inlineStr">
        <is>
          <t>Open</t>
        </is>
      </c>
      <c r="J487" s="4" t="inlineStr">
        <is>
          <t>EUR</t>
        </is>
      </c>
      <c r="K487" s="4" t="n">
        <v>13022.06</v>
      </c>
      <c r="L487" s="4" t="n">
        <v>37094.21</v>
      </c>
      <c r="M487" s="4" t="n">
        <v>50116.27</v>
      </c>
      <c r="N487" s="4" t="inlineStr">
        <is>
          <t>OK</t>
        </is>
      </c>
    </row>
    <row r="488">
      <c r="A488" s="4" t="inlineStr">
        <is>
          <t>CLM-103395</t>
        </is>
      </c>
      <c r="B488" s="4" t="inlineStr">
        <is>
          <t>4567186</t>
        </is>
      </c>
      <c r="C488" s="4" t="inlineStr">
        <is>
          <t>Inglewood Dental plc</t>
        </is>
      </c>
      <c r="D488" s="9" t="n">
        <v>45815</v>
      </c>
      <c r="E488" s="9" t="n">
        <v>46179</v>
      </c>
      <c r="F488" s="4" t="n">
        <v>250000</v>
      </c>
      <c r="G488" s="9" t="n">
        <v>45949</v>
      </c>
      <c r="H488" s="9" t="n">
        <v>45974</v>
      </c>
      <c r="I488" s="4" t="inlineStr">
        <is>
          <t>Open</t>
        </is>
      </c>
      <c r="J488" s="4" t="inlineStr">
        <is>
          <t>GBP</t>
        </is>
      </c>
      <c r="K488" s="4" t="n">
        <v>43900.1</v>
      </c>
      <c r="L488" s="4" t="n">
        <v>27517.16</v>
      </c>
      <c r="M488" s="4" t="n">
        <v>71417.25999999999</v>
      </c>
      <c r="N488" s="4" t="inlineStr">
        <is>
          <t>OK</t>
        </is>
      </c>
    </row>
    <row r="489">
      <c r="A489" s="4" t="inlineStr">
        <is>
          <t>CLM-103402</t>
        </is>
      </c>
      <c r="B489" s="4" t="inlineStr">
        <is>
          <t>4207026</t>
        </is>
      </c>
      <c r="C489" s="4" t="inlineStr">
        <is>
          <t>Merrow Pharmacy LLP</t>
        </is>
      </c>
      <c r="D489" s="9" t="n">
        <v>45970</v>
      </c>
      <c r="E489" s="9" t="n">
        <v>46334</v>
      </c>
      <c r="F489" s="4" t="n">
        <v>1000000</v>
      </c>
      <c r="G489" s="9" t="n">
        <v>46276</v>
      </c>
      <c r="H489" s="9" t="n">
        <v>46281</v>
      </c>
      <c r="I489" s="4" t="inlineStr">
        <is>
          <t>Open</t>
        </is>
      </c>
      <c r="J489" s="4" t="inlineStr">
        <is>
          <t>GBP</t>
        </is>
      </c>
      <c r="K489" s="4" t="n">
        <v>22154.03</v>
      </c>
      <c r="L489" s="4" t="n">
        <v>69548.64999999999</v>
      </c>
      <c r="M489" s="4" t="n">
        <v>91702.67999999999</v>
      </c>
      <c r="N489" s="4" t="inlineStr">
        <is>
          <t>OK</t>
        </is>
      </c>
    </row>
    <row r="490">
      <c r="A490" s="4" t="inlineStr">
        <is>
          <t>CLM-103409</t>
        </is>
      </c>
      <c r="B490" s="4" t="inlineStr">
        <is>
          <t>4101256</t>
        </is>
      </c>
      <c r="C490" s="4" t="inlineStr">
        <is>
          <t>Fenwick Bakery Holdings</t>
        </is>
      </c>
      <c r="D490" s="9" t="n">
        <v>45802</v>
      </c>
      <c r="E490" s="9" t="n">
        <v>46166</v>
      </c>
      <c r="F490" s="4" t="n">
        <v>1000000</v>
      </c>
      <c r="G490" s="9" t="n">
        <v>46048</v>
      </c>
      <c r="H490" s="9" t="n">
        <v>46082</v>
      </c>
      <c r="I490" s="4" t="inlineStr">
        <is>
          <t>Open</t>
        </is>
      </c>
      <c r="J490" s="4" t="inlineStr">
        <is>
          <t>GBP</t>
        </is>
      </c>
      <c r="K490" s="4" t="n">
        <v>22877.54</v>
      </c>
      <c r="L490" s="4" t="n">
        <v>27803.4</v>
      </c>
      <c r="M490" s="4" t="n">
        <v>50680.94</v>
      </c>
      <c r="N490" s="4" t="inlineStr">
        <is>
          <t>OK</t>
        </is>
      </c>
    </row>
    <row r="491">
      <c r="A491" s="4" t="inlineStr">
        <is>
          <t>CLM-103416</t>
        </is>
      </c>
      <c r="B491" s="4" t="inlineStr">
        <is>
          <t>4110965</t>
        </is>
      </c>
      <c r="C491" s="4" t="inlineStr">
        <is>
          <t>Ellery Pharmacy &amp; Sons</t>
        </is>
      </c>
      <c r="D491" s="9" t="n">
        <v>45701</v>
      </c>
      <c r="E491" s="9" t="n">
        <v>46065</v>
      </c>
      <c r="F491" s="4" t="n">
        <v>1000000</v>
      </c>
      <c r="G491" s="9" t="n">
        <v>45737</v>
      </c>
      <c r="H491" s="9" t="n">
        <v>45772</v>
      </c>
      <c r="I491" s="4" t="inlineStr">
        <is>
          <t>Open</t>
        </is>
      </c>
      <c r="J491" s="4" t="inlineStr">
        <is>
          <t>EUR</t>
        </is>
      </c>
      <c r="K491" s="4" t="n">
        <v>23173.46</v>
      </c>
      <c r="L491" s="4" t="n">
        <v>71315.44</v>
      </c>
      <c r="M491" s="4" t="n">
        <v>94488.89999999999</v>
      </c>
      <c r="N491" s="4" t="inlineStr">
        <is>
          <t>OK</t>
        </is>
      </c>
    </row>
    <row r="492">
      <c r="A492" s="4" t="inlineStr">
        <is>
          <t>CLM-103423</t>
        </is>
      </c>
      <c r="B492" s="4" t="inlineStr">
        <is>
          <t>4083896</t>
        </is>
      </c>
      <c r="C492" s="4" t="inlineStr">
        <is>
          <t>Norland Haulage Limited</t>
        </is>
      </c>
      <c r="D492" s="9" t="n">
        <v>45718</v>
      </c>
      <c r="E492" s="9" t="n">
        <v>46082</v>
      </c>
      <c r="F492" s="4" t="n">
        <v>100000</v>
      </c>
      <c r="G492" s="9" t="n">
        <v>45863</v>
      </c>
      <c r="H492" s="9" t="n">
        <v>45896</v>
      </c>
      <c r="I492" s="4" t="inlineStr">
        <is>
          <t>Open</t>
        </is>
      </c>
      <c r="J492" s="4" t="inlineStr">
        <is>
          <t>GBP</t>
        </is>
      </c>
      <c r="K492" s="4" t="n">
        <v>17311.48</v>
      </c>
      <c r="L492" s="4" t="n">
        <v>26249.92</v>
      </c>
      <c r="M492" s="4" t="n">
        <v>43561.4</v>
      </c>
      <c r="N492" s="4" t="inlineStr">
        <is>
          <t>OK</t>
        </is>
      </c>
    </row>
    <row r="493">
      <c r="A493" s="4" t="inlineStr">
        <is>
          <t>CLM-103430</t>
        </is>
      </c>
      <c r="B493" s="4" t="inlineStr">
        <is>
          <t>4268382</t>
        </is>
      </c>
      <c r="C493" s="4" t="inlineStr">
        <is>
          <t>Pembroke Dental &amp; Sons</t>
        </is>
      </c>
      <c r="D493" s="9" t="n">
        <v>46016</v>
      </c>
      <c r="E493" s="9" t="n">
        <v>46380</v>
      </c>
      <c r="F493" s="4" t="n">
        <v>100000</v>
      </c>
      <c r="G493" s="9" t="n">
        <v>46183</v>
      </c>
      <c r="H493" s="9" t="n">
        <v>46199</v>
      </c>
      <c r="I493" s="4" t="inlineStr">
        <is>
          <t>Closed</t>
        </is>
      </c>
      <c r="J493" s="4" t="inlineStr">
        <is>
          <t>GBP</t>
        </is>
      </c>
      <c r="K493" s="4" t="n">
        <v>5103.31</v>
      </c>
      <c r="L493" s="4" t="n">
        <v>0</v>
      </c>
      <c r="M493" s="4" t="n">
        <v>5103.31</v>
      </c>
      <c r="N493" s="4" t="inlineStr">
        <is>
          <t>OK</t>
        </is>
      </c>
    </row>
    <row r="494">
      <c r="A494" s="4" t="inlineStr">
        <is>
          <t>CLM-103437</t>
        </is>
      </c>
      <c r="B494" s="4" t="inlineStr">
        <is>
          <t>4547787</t>
        </is>
      </c>
      <c r="C494" s="4" t="inlineStr">
        <is>
          <t>Selby Hotels Limited</t>
        </is>
      </c>
      <c r="D494" s="9" t="n">
        <v>45945</v>
      </c>
      <c r="E494" s="9" t="n">
        <v>46309</v>
      </c>
      <c r="F494" s="4" t="n">
        <v>1000000</v>
      </c>
      <c r="G494" s="9" t="n">
        <v>46051</v>
      </c>
      <c r="H494" s="9" t="n">
        <v>46078</v>
      </c>
      <c r="I494" s="4" t="inlineStr">
        <is>
          <t>Closed</t>
        </is>
      </c>
      <c r="J494" s="4" t="inlineStr">
        <is>
          <t>GBP</t>
        </is>
      </c>
      <c r="K494" s="4" t="n">
        <v>50112.94</v>
      </c>
      <c r="L494" s="4" t="n">
        <v>0</v>
      </c>
      <c r="M494" s="4" t="n">
        <v>50112.94</v>
      </c>
      <c r="N494" s="4" t="inlineStr">
        <is>
          <t>OK</t>
        </is>
      </c>
    </row>
    <row r="495">
      <c r="A495" s="4" t="inlineStr">
        <is>
          <t>CLM-103444</t>
        </is>
      </c>
      <c r="B495" s="4" t="inlineStr">
        <is>
          <t>4138620</t>
        </is>
      </c>
      <c r="C495" s="4" t="inlineStr">
        <is>
          <t>Upton Engineering plc</t>
        </is>
      </c>
      <c r="D495" s="9" t="n">
        <v>45741</v>
      </c>
      <c r="E495" s="9" t="n">
        <v>46105</v>
      </c>
      <c r="F495" s="4" t="n">
        <v>500000</v>
      </c>
      <c r="G495" s="9" t="n">
        <v>45834</v>
      </c>
      <c r="H495" s="9" t="n">
        <v>45864</v>
      </c>
      <c r="I495" s="4" t="inlineStr">
        <is>
          <t>Open</t>
        </is>
      </c>
      <c r="J495" s="4" t="inlineStr">
        <is>
          <t>GBP</t>
        </is>
      </c>
      <c r="K495" s="4" t="n">
        <v>23530.41</v>
      </c>
      <c r="L495" s="4" t="n">
        <v>9770.73</v>
      </c>
      <c r="M495" s="4" t="n">
        <v>33301.14</v>
      </c>
      <c r="N495" s="4" t="inlineStr">
        <is>
          <t>OK</t>
        </is>
      </c>
    </row>
    <row r="496">
      <c r="A496" s="4" t="inlineStr">
        <is>
          <t>CLM-103451</t>
        </is>
      </c>
      <c r="B496" s="4" t="inlineStr">
        <is>
          <t>4351955</t>
        </is>
      </c>
      <c r="C496" s="4" t="inlineStr">
        <is>
          <t>Dunmore Engineering plc</t>
        </is>
      </c>
      <c r="D496" s="9" t="n">
        <v>45724</v>
      </c>
      <c r="E496" s="9" t="n">
        <v>46088</v>
      </c>
      <c r="F496" s="4" t="n">
        <v>1000000</v>
      </c>
      <c r="G496" s="9" t="n">
        <v>45910</v>
      </c>
      <c r="H496" s="9" t="n">
        <v>45921</v>
      </c>
      <c r="I496" s="4" t="inlineStr">
        <is>
          <t>Open</t>
        </is>
      </c>
      <c r="J496" s="4" t="inlineStr">
        <is>
          <t>GBP</t>
        </is>
      </c>
      <c r="K496" s="4" t="n">
        <v>33455.87</v>
      </c>
      <c r="L496" s="4" t="n">
        <v>42202.08</v>
      </c>
      <c r="M496" s="4" t="n">
        <v>75657.95</v>
      </c>
      <c r="N496" s="4" t="inlineStr">
        <is>
          <t>OK</t>
        </is>
      </c>
    </row>
    <row r="497">
      <c r="A497" s="4" t="inlineStr">
        <is>
          <t>CLM-103458</t>
        </is>
      </c>
      <c r="B497" s="4" t="inlineStr">
        <is>
          <t>4087028</t>
        </is>
      </c>
      <c r="C497" s="4" t="inlineStr">
        <is>
          <t>Brennan Electrical Ltd</t>
        </is>
      </c>
      <c r="D497" s="9" t="n">
        <v>45740</v>
      </c>
      <c r="E497" s="9" t="n">
        <v>46104</v>
      </c>
      <c r="F497" s="4" t="n">
        <v>500000</v>
      </c>
      <c r="G497" s="9" t="n">
        <v>45892</v>
      </c>
      <c r="H497" s="9" t="n">
        <v>45906</v>
      </c>
      <c r="I497" s="4" t="inlineStr">
        <is>
          <t>Open</t>
        </is>
      </c>
      <c r="J497" s="4" t="inlineStr">
        <is>
          <t>USD</t>
        </is>
      </c>
      <c r="K497" s="4" t="n">
        <v>10888.99</v>
      </c>
      <c r="L497" s="4" t="n">
        <v>49153.17</v>
      </c>
      <c r="M497" s="4" t="n">
        <v>60042.16</v>
      </c>
      <c r="N497" s="4" t="inlineStr">
        <is>
          <t>OK</t>
        </is>
      </c>
    </row>
    <row r="498">
      <c r="A498" s="4" t="inlineStr">
        <is>
          <t>CLM-103465</t>
        </is>
      </c>
      <c r="B498" s="4" t="inlineStr">
        <is>
          <t>4302056</t>
        </is>
      </c>
      <c r="C498" s="4" t="inlineStr">
        <is>
          <t>Merrow Haulage Ltd</t>
        </is>
      </c>
      <c r="D498" s="9" t="n">
        <v>45889</v>
      </c>
      <c r="E498" s="9" t="n">
        <v>46253</v>
      </c>
      <c r="F498" s="4" t="n">
        <v>1000000</v>
      </c>
      <c r="G498" s="9" t="n">
        <v>46116</v>
      </c>
      <c r="H498" s="9" t="n">
        <v>46156</v>
      </c>
      <c r="I498" s="4" t="inlineStr">
        <is>
          <t>Open</t>
        </is>
      </c>
      <c r="J498" s="4" t="inlineStr">
        <is>
          <t>USD</t>
        </is>
      </c>
      <c r="K498" s="4" t="n">
        <v>12404.04</v>
      </c>
      <c r="L498" s="4" t="n">
        <v>22703.15</v>
      </c>
      <c r="M498" s="4" t="n">
        <v>35107.19</v>
      </c>
      <c r="N498" s="4" t="inlineStr">
        <is>
          <t>OK</t>
        </is>
      </c>
    </row>
    <row r="499">
      <c r="A499" s="4" t="inlineStr">
        <is>
          <t>CLM-103472</t>
        </is>
      </c>
      <c r="B499" s="4" t="inlineStr">
        <is>
          <t>4878986</t>
        </is>
      </c>
      <c r="C499" s="6" t="n"/>
      <c r="D499" s="9" t="n">
        <v>45671</v>
      </c>
      <c r="E499" s="9" t="n">
        <v>46035</v>
      </c>
      <c r="F499" s="4" t="n">
        <v>500000</v>
      </c>
      <c r="G499" s="9" t="n">
        <v>45931</v>
      </c>
      <c r="H499" s="9" t="n">
        <v>45962</v>
      </c>
      <c r="I499" s="4" t="inlineStr">
        <is>
          <t>Open</t>
        </is>
      </c>
      <c r="J499" s="4" t="inlineStr">
        <is>
          <t>GBP</t>
        </is>
      </c>
      <c r="K499" s="4" t="n">
        <v>36609.21</v>
      </c>
      <c r="L499" s="4" t="n">
        <v>30378.24</v>
      </c>
      <c r="M499" s="4" t="n">
        <v>66987.45</v>
      </c>
      <c r="N499" s="6" t="inlineStr">
        <is>
          <t>Error: Required data missing: insured name is missing.</t>
        </is>
      </c>
    </row>
    <row r="500">
      <c r="A500" s="4" t="inlineStr">
        <is>
          <t>CLM-103479</t>
        </is>
      </c>
      <c r="B500" s="4" t="inlineStr">
        <is>
          <t>4612381</t>
        </is>
      </c>
      <c r="C500" s="4" t="inlineStr">
        <is>
          <t>Kestrel Farms &amp; Sons</t>
        </is>
      </c>
      <c r="D500" s="9" t="n">
        <v>45922</v>
      </c>
      <c r="E500" s="9" t="n">
        <v>46286</v>
      </c>
      <c r="F500" s="4" t="n">
        <v>250000</v>
      </c>
      <c r="G500" s="9" t="n">
        <v>46236</v>
      </c>
      <c r="H500" s="9" t="n">
        <v>46263</v>
      </c>
      <c r="I500" s="4" t="inlineStr">
        <is>
          <t>Reopened</t>
        </is>
      </c>
      <c r="J500" s="4" t="inlineStr">
        <is>
          <t>GBP</t>
        </is>
      </c>
      <c r="K500" s="4" t="n">
        <v>51028.47</v>
      </c>
      <c r="L500" s="4" t="n">
        <v>17537.25</v>
      </c>
      <c r="M500" s="4" t="n">
        <v>68565.72</v>
      </c>
      <c r="N500" s="4" t="inlineStr">
        <is>
          <t>OK</t>
        </is>
      </c>
    </row>
    <row r="501">
      <c r="A501" s="4" t="inlineStr">
        <is>
          <t>CLM-103486</t>
        </is>
      </c>
      <c r="B501" s="4" t="inlineStr">
        <is>
          <t>4606740</t>
        </is>
      </c>
      <c r="C501" s="4" t="inlineStr">
        <is>
          <t>Kestrel Foods Ltd</t>
        </is>
      </c>
      <c r="D501" s="9" t="n">
        <v>46006</v>
      </c>
      <c r="E501" s="9" t="n">
        <v>46370</v>
      </c>
      <c r="F501" s="4" t="n">
        <v>100000</v>
      </c>
      <c r="G501" s="9" t="n">
        <v>46211</v>
      </c>
      <c r="H501" s="9" t="n">
        <v>46220</v>
      </c>
      <c r="I501" s="4" t="inlineStr">
        <is>
          <t>Open</t>
        </is>
      </c>
      <c r="J501" s="4" t="inlineStr">
        <is>
          <t>GBP</t>
        </is>
      </c>
      <c r="K501" s="4" t="n">
        <v>33915.75</v>
      </c>
      <c r="L501" s="4" t="n">
        <v>13398.38</v>
      </c>
      <c r="M501" s="4" t="n">
        <v>47314.13</v>
      </c>
      <c r="N501" s="4" t="inlineStr">
        <is>
          <t>OK</t>
        </is>
      </c>
    </row>
    <row r="502">
      <c r="A502" s="4" t="inlineStr">
        <is>
          <t>CLM-103493</t>
        </is>
      </c>
      <c r="B502" s="4" t="inlineStr">
        <is>
          <t>4354976</t>
        </is>
      </c>
      <c r="C502" s="4" t="inlineStr">
        <is>
          <t>Selby Electrical &amp; Sons</t>
        </is>
      </c>
      <c r="D502" s="9" t="n">
        <v>45865</v>
      </c>
      <c r="E502" s="9" t="n">
        <v>46229</v>
      </c>
      <c r="F502" s="4" t="n">
        <v>100000</v>
      </c>
      <c r="G502" s="9" t="n">
        <v>46110</v>
      </c>
      <c r="H502" s="9" t="n">
        <v>46131</v>
      </c>
      <c r="I502" s="4" t="inlineStr">
        <is>
          <t>Open</t>
        </is>
      </c>
      <c r="J502" s="4" t="inlineStr">
        <is>
          <t>GBP</t>
        </is>
      </c>
      <c r="K502" s="4" t="n">
        <v>29606.75</v>
      </c>
      <c r="L502" s="4" t="n">
        <v>32063.78</v>
      </c>
      <c r="M502" s="4" t="n">
        <v>61670.53</v>
      </c>
      <c r="N502" s="4" t="inlineStr">
        <is>
          <t>OK</t>
        </is>
      </c>
    </row>
    <row r="503">
      <c r="A503" s="4" t="inlineStr">
        <is>
          <t>CLM-102842</t>
        </is>
      </c>
      <c r="B503" s="4" t="inlineStr">
        <is>
          <t>4856818</t>
        </is>
      </c>
      <c r="C503" s="4" t="inlineStr">
        <is>
          <t>Thornbury Marine LLP</t>
        </is>
      </c>
      <c r="D503" s="9" t="n">
        <v>45830</v>
      </c>
      <c r="E503" s="9" t="n">
        <v>46194</v>
      </c>
      <c r="F503" s="4" t="n">
        <v>250000</v>
      </c>
      <c r="G503" s="9" t="n">
        <v>46070</v>
      </c>
      <c r="H503" s="9" t="n">
        <v>46095</v>
      </c>
      <c r="I503" s="4" t="inlineStr">
        <is>
          <t>Open</t>
        </is>
      </c>
      <c r="J503" s="4" t="inlineStr">
        <is>
          <t>GBP</t>
        </is>
      </c>
      <c r="K503" s="4" t="n">
        <v>11875.73</v>
      </c>
      <c r="L503" s="4" t="n">
        <v>47618.84</v>
      </c>
      <c r="M503" s="4" t="n">
        <v>59494.57</v>
      </c>
      <c r="N503" s="4" t="inlineStr">
        <is>
          <t>OK</t>
        </is>
      </c>
    </row>
    <row r="504">
      <c r="A504" s="4" t="inlineStr">
        <is>
          <t>CLM-900301</t>
        </is>
      </c>
      <c r="B504" s="4" t="inlineStr">
        <is>
          <t>4759671</t>
        </is>
      </c>
      <c r="C504" s="4" t="inlineStr">
        <is>
          <t>Ballina Florists Limited</t>
        </is>
      </c>
      <c r="D504" s="9" t="n">
        <v>45864</v>
      </c>
      <c r="E504" s="9" t="n">
        <v>46228</v>
      </c>
      <c r="F504" s="4" t="n">
        <v>100000</v>
      </c>
      <c r="G504" s="9" t="n">
        <v>45974</v>
      </c>
      <c r="H504" s="9" t="n">
        <v>45999</v>
      </c>
      <c r="I504" s="4" t="inlineStr">
        <is>
          <t>Open</t>
        </is>
      </c>
      <c r="J504" s="4" t="inlineStr">
        <is>
          <t>USD</t>
        </is>
      </c>
      <c r="K504" s="4" t="n">
        <v>13647.68</v>
      </c>
      <c r="L504" s="4" t="n">
        <v>11647.34</v>
      </c>
      <c r="M504" s="4" t="n">
        <v>25295.02</v>
      </c>
      <c r="N504" s="4" t="inlineStr">
        <is>
          <t>OK</t>
        </is>
      </c>
    </row>
    <row r="505">
      <c r="A505" s="7" t="inlineStr">
        <is>
          <t>Total</t>
        </is>
      </c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>
        <v>14606115.86</v>
      </c>
      <c r="L505" s="7" t="n">
        <v>14138455.37</v>
      </c>
      <c r="M505" s="7" t="n">
        <v>28736255.57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Claims</t>
        </is>
      </c>
      <c r="C1" t="inlineStr">
        <is>
          <t>Total incurred</t>
        </is>
      </c>
    </row>
    <row r="2">
      <c r="A2" t="inlineStr">
        <is>
          <t>Open</t>
        </is>
      </c>
      <c r="B2" t="n">
        <v>374</v>
      </c>
      <c r="C2" t="n">
        <v>23988705.52</v>
      </c>
    </row>
    <row r="3">
      <c r="A3" t="inlineStr">
        <is>
          <t>Closed</t>
        </is>
      </c>
      <c r="B3" t="n">
        <v>101</v>
      </c>
      <c r="C3" t="n">
        <v>3005079.22</v>
      </c>
    </row>
    <row r="4">
      <c r="A4" t="inlineStr">
        <is>
          <t>Reopened</t>
        </is>
      </c>
      <c r="B4" t="n">
        <v>26</v>
      </c>
      <c r="C4" t="n">
        <v>1650458.45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by the claims team. Figures in policy currency.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18" customWidth="1" min="5" max="5"/>
    <col width="70" customWidth="1" min="6" max="6"/>
    <col width="60" customWidth="1" min="7" max="7"/>
    <col width="10" customWidth="1" min="8" max="8"/>
  </cols>
  <sheetData>
    <row r="1">
      <c r="A1" s="8" t="inlineStr">
        <is>
          <t>Issue</t>
        </is>
      </c>
      <c r="B1" s="8" t="inlineStr">
        <is>
          <t>Result</t>
        </is>
      </c>
      <c r="C1" s="8" t="inlineStr">
        <is>
          <t>Severity</t>
        </is>
      </c>
      <c r="D1" s="8" t="inlineStr">
        <is>
          <t>Where (click to go)</t>
        </is>
      </c>
      <c r="E1" s="8" t="inlineStr">
        <is>
          <t>Claim reference</t>
        </is>
      </c>
      <c r="F1" s="8" t="inlineStr">
        <is>
          <t>What we found</t>
        </is>
      </c>
      <c r="G1" s="8" t="inlineStr">
        <is>
          <t>Fix</t>
        </is>
      </c>
      <c r="H1" s="8" t="inlineStr">
        <is>
          <t>Who fixes</t>
        </is>
      </c>
    </row>
    <row r="2">
      <c r="A2" s="3" t="inlineStr">
        <is>
          <t>Required data missing (2)</t>
        </is>
      </c>
    </row>
    <row r="3" outlineLevel="1">
      <c r="A3" t="inlineStr">
        <is>
          <t>Required data missing</t>
        </is>
      </c>
      <c r="B3" s="11" t="inlineStr">
        <is>
          <t>Error</t>
        </is>
      </c>
      <c r="C3" t="inlineStr">
        <is>
          <t>Critical</t>
        </is>
      </c>
      <c r="D3" s="12" t="inlineStr">
        <is>
          <t>Claims!C416</t>
        </is>
      </c>
      <c r="E3" t="inlineStr">
        <is>
          <t>CLM-102891</t>
        </is>
      </c>
      <c r="F3" t="inlineStr">
        <is>
          <t>Required data missing: insured name is missing.</t>
        </is>
      </c>
      <c r="G3" t="inlineStr">
        <is>
          <t>Ask the sender for the missing value.</t>
        </is>
      </c>
      <c r="H3" t="inlineStr">
        <is>
          <t>Sender</t>
        </is>
      </c>
    </row>
    <row r="4" outlineLevel="1">
      <c r="A4" t="inlineStr">
        <is>
          <t>Required data missing</t>
        </is>
      </c>
      <c r="B4" s="11" t="inlineStr">
        <is>
          <t>Error</t>
        </is>
      </c>
      <c r="C4" t="inlineStr">
        <is>
          <t>Critical</t>
        </is>
      </c>
      <c r="D4" s="12" t="inlineStr">
        <is>
          <t>Claims!C499</t>
        </is>
      </c>
      <c r="E4" t="inlineStr">
        <is>
          <t>CLM-103472</t>
        </is>
      </c>
      <c r="F4" t="inlineStr">
        <is>
          <t>Required data missing: insured name is missing.</t>
        </is>
      </c>
      <c r="G4" t="inlineStr">
        <is>
          <t>Ask the sender for the missing value.</t>
        </is>
      </c>
      <c r="H4" t="inlineStr">
        <is>
          <t>Sender</t>
        </is>
      </c>
    </row>
    <row r="5">
      <c r="A5" s="3" t="inlineStr">
        <is>
          <t>Currency code not recognised (1)</t>
        </is>
      </c>
    </row>
    <row r="6" outlineLevel="1">
      <c r="A6" t="inlineStr">
        <is>
          <t>Currency code not recognised</t>
        </is>
      </c>
      <c r="B6" s="11" t="inlineStr">
        <is>
          <t>Error</t>
        </is>
      </c>
      <c r="C6" t="inlineStr">
        <is>
          <t>High</t>
        </is>
      </c>
      <c r="D6" s="12" t="inlineStr">
        <is>
          <t>Claims!J107</t>
        </is>
      </c>
      <c r="E6" t="inlineStr">
        <is>
          <t>CLM-100728</t>
        </is>
      </c>
      <c r="F6" t="inlineStr">
        <is>
          <t>Currency code not recognised: 'XXX' is not a valid ISO 4217 code.</t>
        </is>
      </c>
      <c r="G6" t="inlineStr">
        <is>
          <t>Use a valid ISO currency code (EUR, GBP, USD...). Confirm which currency the amounts are in.</t>
        </is>
      </c>
      <c r="H6" t="inlineStr">
        <is>
          <t>Sender</t>
        </is>
      </c>
    </row>
    <row r="7">
      <c r="A7" s="3" t="inlineStr">
        <is>
          <t>Exact duplicate (1)</t>
        </is>
      </c>
    </row>
    <row r="8" outlineLevel="1">
      <c r="A8" t="inlineStr">
        <is>
          <t>Exact duplicate</t>
        </is>
      </c>
      <c r="B8" s="11" t="inlineStr">
        <is>
          <t>Error</t>
        </is>
      </c>
      <c r="C8" t="inlineStr">
        <is>
          <t>High</t>
        </is>
      </c>
      <c r="D8" s="12" t="inlineStr">
        <is>
          <t>Claims!A409</t>
        </is>
      </c>
      <c r="E8" t="inlineStr">
        <is>
          <t>CLM-102842</t>
        </is>
      </c>
      <c r="F8" t="inlineStr">
        <is>
          <t>Exact duplicate: claim reference 'CLM-102842' is repeated with identical amounts and status in the same sheet 'Claims' (no reporting period present).</t>
        </is>
      </c>
      <c r="G8" t="inlineStr">
        <is>
          <t>The same claim was sent twice with identical figures. Ask the sender to withdraw one.</t>
        </is>
      </c>
      <c r="H8" t="inlineStr">
        <is>
          <t>Sender</t>
        </is>
      </c>
    </row>
    <row r="9">
      <c r="A9" s="3" t="inlineStr">
        <is>
          <t>Incurred exceeds the policy limit (1)</t>
        </is>
      </c>
    </row>
    <row r="10" outlineLevel="1">
      <c r="A10" t="inlineStr">
        <is>
          <t>Incurred exceeds the policy limit</t>
        </is>
      </c>
      <c r="B10" s="11" t="inlineStr">
        <is>
          <t>Error</t>
        </is>
      </c>
      <c r="C10" t="inlineStr">
        <is>
          <t>High</t>
        </is>
      </c>
      <c r="D10" s="12" t="inlineStr">
        <is>
          <t>Claims!M22</t>
        </is>
      </c>
      <c r="E10" t="inlineStr">
        <is>
          <t>CLM-100133</t>
        </is>
      </c>
      <c r="F10" t="inlineStr">
        <is>
          <t>Incurred exceeds the policy limit: total incurred 150,000.00 is above the policy limit 100,000.00.</t>
        </is>
      </c>
      <c r="G10" t="inlineStr">
        <is>
          <t>Total incurred is above the policy limit: a possible overpayment or a wrong limit. Check both.</t>
        </is>
      </c>
      <c r="H10" t="inlineStr">
        <is>
          <t>Sender</t>
        </is>
      </c>
    </row>
    <row r="11">
      <c r="A11" s="3" t="inlineStr">
        <is>
          <t>Loss outside the policy period (1)</t>
        </is>
      </c>
    </row>
    <row r="12" outlineLevel="1">
      <c r="A12" t="inlineStr">
        <is>
          <t>Loss outside the policy period</t>
        </is>
      </c>
      <c r="B12" s="11" t="inlineStr">
        <is>
          <t>Error</t>
        </is>
      </c>
      <c r="C12" t="inlineStr">
        <is>
          <t>High</t>
        </is>
      </c>
      <c r="D12" s="12" t="inlineStr">
        <is>
          <t>Claims!G5</t>
        </is>
      </c>
      <c r="E12" t="inlineStr">
        <is>
          <t>CLM-100014</t>
        </is>
      </c>
      <c r="F12" t="inlineStr">
        <is>
          <t>Loss outside the policy period: date of loss 2025-09-27 is before policy inception 2025-10-16.</t>
        </is>
      </c>
      <c r="G12" t="inlineStr">
        <is>
          <t>The date of loss is before inception or after expiry. Check the dates and the policy.</t>
        </is>
      </c>
      <c r="H12" t="inlineStr">
        <is>
          <t>Sender</t>
        </is>
      </c>
    </row>
    <row r="13">
      <c r="A13" s="3" t="inlineStr">
        <is>
          <t>Negative reserve (1)</t>
        </is>
      </c>
    </row>
    <row r="14" outlineLevel="1">
      <c r="A14" t="inlineStr">
        <is>
          <t>Negative reserve</t>
        </is>
      </c>
      <c r="B14" s="11" t="inlineStr">
        <is>
          <t>Error</t>
        </is>
      </c>
      <c r="C14" t="inlineStr">
        <is>
          <t>High</t>
        </is>
      </c>
      <c r="D14" s="12" t="inlineStr">
        <is>
          <t>Claims!L479</t>
        </is>
      </c>
      <c r="E14" t="inlineStr">
        <is>
          <t>CLM-103332</t>
        </is>
      </c>
      <c r="F14" t="inlineStr">
        <is>
          <t>Negative reserve: reserve is -1,841.16; a reserve cannot be negative.</t>
        </is>
      </c>
      <c r="G14" t="inlineStr">
        <is>
          <t>Reserves cannot be negative. Ask the sender for the correct outstanding amount.</t>
        </is>
      </c>
      <c r="H14" t="inlineStr">
        <is>
          <t>Sender</t>
        </is>
      </c>
    </row>
    <row r="15">
      <c r="A15" s="3" t="inlineStr">
        <is>
          <t>Paid exceeds total incurred (1)</t>
        </is>
      </c>
    </row>
    <row r="16" outlineLevel="1">
      <c r="A16" t="inlineStr">
        <is>
          <t>Paid exceeds total incurred</t>
        </is>
      </c>
      <c r="B16" s="11" t="inlineStr">
        <is>
          <t>Error</t>
        </is>
      </c>
      <c r="C16" t="inlineStr">
        <is>
          <t>High</t>
        </is>
      </c>
      <c r="D16" s="12" t="inlineStr">
        <is>
          <t>Claims!K479</t>
        </is>
      </c>
      <c r="E16" t="inlineStr">
        <is>
          <t>CLM-103332</t>
        </is>
      </c>
      <c r="F16" t="inlineStr">
        <is>
          <t>Paid exceeds total incurred: paid to date 19,147.98 is more than total incurred 17,306.82.</t>
        </is>
      </c>
      <c r="G16" t="inlineStr">
        <is>
          <t>Paid to date cannot be more than total incurred. Ask the sender to correct the figures.</t>
        </is>
      </c>
      <c r="H16" t="inlineStr">
        <is>
          <t>Sender</t>
        </is>
      </c>
    </row>
    <row r="17">
      <c r="A17" s="3" t="inlineStr">
        <is>
          <t>Total incurred does not reconcile (2)</t>
        </is>
      </c>
    </row>
    <row r="18" outlineLevel="1">
      <c r="A18" t="inlineStr">
        <is>
          <t>Total incurred does not reconcile</t>
        </is>
      </c>
      <c r="B18" s="11" t="inlineStr">
        <is>
          <t>Error</t>
        </is>
      </c>
      <c r="C18" t="inlineStr">
        <is>
          <t>High</t>
        </is>
      </c>
      <c r="D18" s="12" t="inlineStr">
        <is>
          <t>Claims!M458</t>
        </is>
      </c>
      <c r="E18" t="inlineStr">
        <is>
          <t>CLM-103185</t>
        </is>
      </c>
      <c r="F18" t="inlineStr">
        <is>
          <t>Total incurred does not reconcile: total incurred=58,702.08 but paid to date 26,451.11 + reserve 36,367.57 = 62,818.68 (no fee columns in this file: checked as nil fees; if the total includes fees the difference may be fees).</t>
        </is>
      </c>
      <c r="G18" t="inlineStr">
        <is>
          <t>Total incurred should equal paid plus reserve (plus fees). Ask the sender which figure is right.</t>
        </is>
      </c>
      <c r="H18" t="inlineStr">
        <is>
          <t>Sender</t>
        </is>
      </c>
    </row>
    <row r="19" outlineLevel="1">
      <c r="A19" t="inlineStr">
        <is>
          <t>Total incurred does not reconcile</t>
        </is>
      </c>
      <c r="B19" s="11" t="inlineStr">
        <is>
          <t>Error</t>
        </is>
      </c>
      <c r="C19" t="inlineStr">
        <is>
          <t>High</t>
        </is>
      </c>
      <c r="D19" s="12" t="inlineStr">
        <is>
          <t>Claims!M480</t>
        </is>
      </c>
      <c r="E19" t="inlineStr">
        <is>
          <t>CLM-103339</t>
        </is>
      </c>
      <c r="F19" t="inlineStr">
        <is>
          <t>Total incurred does not reconcile: total incurred=88,638.40 but paid to date 19,256.61 + reserve 73,580.85 = 92,837.46 (no fee columns in this file: checked as nil fees; if the total includes fees the difference may be fees).</t>
        </is>
      </c>
      <c r="G19" t="inlineStr">
        <is>
          <t>Total incurred should equal paid plus reserve (plus fees). Ask the sender which figure is right.</t>
        </is>
      </c>
      <c r="H19" t="inlineStr">
        <is>
          <t>Sender</t>
        </is>
      </c>
    </row>
    <row r="20">
      <c r="A20" s="3" t="inlineStr">
        <is>
          <t>Notified before the loss date (1)</t>
        </is>
      </c>
    </row>
    <row r="21" outlineLevel="1">
      <c r="A21" t="inlineStr">
        <is>
          <t>Notified before the loss date</t>
        </is>
      </c>
      <c r="B21" s="11" t="inlineStr">
        <is>
          <t>Error</t>
        </is>
      </c>
      <c r="C21" t="inlineStr">
        <is>
          <t>Medium</t>
        </is>
      </c>
      <c r="D21" s="12" t="inlineStr">
        <is>
          <t>Claims!H67</t>
        </is>
      </c>
      <c r="E21" t="inlineStr">
        <is>
          <t>CLM-100448</t>
        </is>
      </c>
      <c r="F21" t="inlineStr">
        <is>
          <t>Notified before the loss date: date of loss 2026-01-17 is after date first notified 2026-01-01.</t>
        </is>
      </c>
      <c r="G21" t="inlineStr">
        <is>
          <t>The claim was notified before it happened. Check both dates with the sender.</t>
        </is>
      </c>
      <c r="H21" t="inlineStr">
        <is>
          <t>Sender</t>
        </is>
      </c>
    </row>
    <row r="22">
      <c r="A22" s="3" t="inlineStr">
        <is>
          <t>Status not recognised (1)</t>
        </is>
      </c>
    </row>
    <row r="23" outlineLevel="1">
      <c r="A23" t="inlineStr">
        <is>
          <t>Status not recognised</t>
        </is>
      </c>
      <c r="B23" s="11" t="inlineStr">
        <is>
          <t>Error</t>
        </is>
      </c>
      <c r="C23" t="inlineStr">
        <is>
          <t>Medium</t>
        </is>
      </c>
      <c r="D23" s="12" t="inlineStr">
        <is>
          <t>Claims!I287</t>
        </is>
      </c>
      <c r="E23" t="inlineStr">
        <is>
          <t>CLM-101988</t>
        </is>
      </c>
      <c r="F23" t="inlineStr">
        <is>
          <t>Status not recognised: 'in litigation hold' is not one of ['cancelled', 'closed', 'ntu', 'open', 'other', 'reopened', 'void', 'withdrawn'].</t>
        </is>
      </c>
      <c r="G23" t="inlineStr">
        <is>
          <t>Use one of the agreed statuses (Open, Closed, Reopened...), or add it to the accepted list.</t>
        </is>
      </c>
      <c r="H23" t="inlineStr">
        <is>
          <t>Sender</t>
        </is>
      </c>
    </row>
    <row r="24">
      <c r="A24" s="3" t="inlineStr">
        <is>
          <t>Closed claim still holds a reserve (2)</t>
        </is>
      </c>
    </row>
    <row r="25" outlineLevel="1">
      <c r="A25" t="inlineStr">
        <is>
          <t>Closed claim still holds a reserve</t>
        </is>
      </c>
      <c r="B25" s="5" t="inlineStr">
        <is>
          <t>Warning</t>
        </is>
      </c>
      <c r="C25" t="inlineStr">
        <is>
          <t>Medium</t>
        </is>
      </c>
      <c r="D25" s="12" t="inlineStr">
        <is>
          <t>Claims!L22</t>
        </is>
      </c>
      <c r="E25" t="inlineStr">
        <is>
          <t>CLM-100133</t>
        </is>
      </c>
      <c r="F25" t="inlineStr">
        <is>
          <t>Closed claim still holds a reserve: claim is closed but still holds a reserve of 60,000.00.</t>
        </is>
      </c>
      <c r="G25" t="inlineStr">
        <is>
          <t>A closed or settled claim should hold no reserve. Ask the sender to release it or reopen the claim.</t>
        </is>
      </c>
      <c r="H25" t="inlineStr">
        <is>
          <t>Sender</t>
        </is>
      </c>
    </row>
    <row r="26" outlineLevel="1">
      <c r="A26" t="inlineStr">
        <is>
          <t>Closed claim still holds a reserve</t>
        </is>
      </c>
      <c r="B26" s="5" t="inlineStr">
        <is>
          <t>Warning</t>
        </is>
      </c>
      <c r="C26" t="inlineStr">
        <is>
          <t>Medium</t>
        </is>
      </c>
      <c r="D26" s="12" t="inlineStr">
        <is>
          <t>Claims!L391</t>
        </is>
      </c>
      <c r="E26" t="inlineStr">
        <is>
          <t>CLM-102716</t>
        </is>
      </c>
      <c r="F26" t="inlineStr">
        <is>
          <t>Closed claim still holds a reserve: claim is closed but still holds a reserve of 1,500.00.</t>
        </is>
      </c>
      <c r="G26" t="inlineStr">
        <is>
          <t>A closed or settled claim should hold no reserve. Ask the sender to release it or reopen the claim.</t>
        </is>
      </c>
      <c r="H26" t="inlineStr">
        <is>
          <t>Sender</t>
        </is>
      </c>
    </row>
    <row r="27">
      <c r="A27" s="3" t="inlineStr">
        <is>
          <t>Probable duplicate (1)</t>
        </is>
      </c>
    </row>
    <row r="28" outlineLevel="1">
      <c r="A28" t="inlineStr">
        <is>
          <t>Probable duplicate</t>
        </is>
      </c>
      <c r="B28" s="5" t="inlineStr">
        <is>
          <t>Warning</t>
        </is>
      </c>
      <c r="C28" t="inlineStr">
        <is>
          <t>Medium</t>
        </is>
      </c>
      <c r="D28" s="12" t="inlineStr">
        <is>
          <t>Claims!A304</t>
        </is>
      </c>
      <c r="E28" t="inlineStr">
        <is>
          <t>CLM-102107</t>
        </is>
      </c>
      <c r="F28" t="inlineStr">
        <is>
          <t>Probable duplicate: 100% confidence: insured names 'Ballina Florists Limited' / 'Ballina Florists Limited' are 100% similar, loss dates 2025-11-13 / 2025-11-13 are 0 days apart, claim references differ; policy references match; amounts are the same.</t>
        </is>
      </c>
      <c r="G28" t="inlineStr">
        <is>
          <t>Compare the two rows side by side; confirm whether they are the same loss.</t>
        </is>
      </c>
      <c r="H28" t="inlineStr">
        <is>
          <t>Sender</t>
        </is>
      </c>
    </row>
    <row r="29">
      <c r="A29" s="3" t="inlineStr">
        <is>
          <t>Currency written non-standardly (1)</t>
        </is>
      </c>
    </row>
    <row r="30" outlineLevel="1">
      <c r="A30" t="inlineStr">
        <is>
          <t>Currency written non-standardly</t>
        </is>
      </c>
      <c r="B30" s="5" t="inlineStr">
        <is>
          <t>Warning</t>
        </is>
      </c>
      <c r="C30" t="inlineStr">
        <is>
          <t>Info</t>
        </is>
      </c>
      <c r="D30" s="12" t="inlineStr">
        <is>
          <t>Claims!J74</t>
        </is>
      </c>
      <c r="E30" t="inlineStr">
        <is>
          <t>CLM-100497</t>
        </is>
      </c>
      <c r="F30" t="inlineStr">
        <is>
          <t>Currency written non-standardly: 'eur' read as EUR.</t>
        </is>
      </c>
      <c r="G30" t="inlineStr">
        <is>
          <t>Read as the ISO code shown. The corrected copy writes the ISO code.</t>
        </is>
      </c>
      <c r="H30" t="inlineStr">
        <is>
          <t>Us</t>
        </is>
      </c>
    </row>
    <row r="31">
      <c r="A31" s="3" t="inlineStr">
        <is>
          <t>Date stored as text or a number (1)</t>
        </is>
      </c>
    </row>
    <row r="32" outlineLevel="1">
      <c r="A32" t="inlineStr">
        <is>
          <t>Date stored as text or a number</t>
        </is>
      </c>
      <c r="B32" s="5" t="inlineStr">
        <is>
          <t>Warning</t>
        </is>
      </c>
      <c r="C32" t="inlineStr">
        <is>
          <t>Info</t>
        </is>
      </c>
      <c r="D32" s="12" t="inlineStr">
        <is>
          <t>Claims!G164</t>
        </is>
      </c>
      <c r="E32" t="inlineStr">
        <is>
          <t>CLM-101127</t>
        </is>
      </c>
      <c r="F32" t="inlineStr">
        <is>
          <t>Date stored as text or a number: date of loss 2025-04-25 was read from text or an Excel serial number, not a date cell.</t>
        </is>
      </c>
      <c r="G32" t="inlineStr">
        <is>
          <t>Read correctly, but stored as text or an Excel serial number. The corrected copy converts it to a real date.</t>
        </is>
      </c>
      <c r="H32" t="inlineStr">
        <is>
          <t>Us</t>
        </is>
      </c>
    </row>
  </sheetData>
  <hyperlinks>
    <hyperlink ref="D3" location="'Claims'!C416" display="Claims!C416"/>
    <hyperlink ref="D4" location="'Claims'!C499" display="Claims!C499"/>
    <hyperlink ref="D6" location="'Claims'!J107" display="Claims!J107"/>
    <hyperlink ref="D8" location="'Claims'!A409" display="Claims!A409"/>
    <hyperlink ref="D10" location="'Claims'!M22" display="Claims!M22"/>
    <hyperlink ref="D12" location="'Claims'!G5" display="Claims!G5"/>
    <hyperlink ref="D14" location="'Claims'!L479" display="Claims!L479"/>
    <hyperlink ref="D16" location="'Claims'!K479" display="Claims!K479"/>
    <hyperlink ref="D18" location="'Claims'!M458" display="Claims!M458"/>
    <hyperlink ref="D19" location="'Claims'!M480" display="Claims!M480"/>
    <hyperlink ref="D21" location="'Claims'!H67" display="Claims!H67"/>
    <hyperlink ref="D23" location="'Claims'!I287" display="Claims!I287"/>
    <hyperlink ref="D25" location="'Claims'!L22" display="Claims!L22"/>
    <hyperlink ref="D26" location="'Claims'!L391" display="Claims!L391"/>
    <hyperlink ref="D28" location="'Claims'!A304" display="Claims!A304"/>
    <hyperlink ref="D30" location="'Claims'!J74" display="Claims!J74"/>
    <hyperlink ref="D32" location="'Claims'!G164" display="Claims!G1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2026-10-02T08:03:57Z</dcterms:created>
  <dcterms:modified xmlns:dcterms="http://purl.org/dc/terms/" xmlns:xsi="http://www.w3.org/2001/XMLSchema-instance" xsi:type="dcterms:W3CDTF">2026-10-02T08:04:04Z</dcterms:modified>
</cp:coreProperties>
</file>